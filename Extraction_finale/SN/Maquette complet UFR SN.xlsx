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ichier Doyen\Maquettes DGES DESUP\"/>
    </mc:Choice>
  </mc:AlternateContent>
  <bookViews>
    <workbookView xWindow="0" yWindow="0" windowWidth="20490" windowHeight="6930"/>
  </bookViews>
  <sheets>
    <sheet name="Feuil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09" i="1" l="1"/>
  <c r="K1109" i="1"/>
  <c r="J1109" i="1"/>
  <c r="I1109" i="1"/>
  <c r="H1109" i="1"/>
  <c r="G1109" i="1"/>
  <c r="F1109" i="1"/>
  <c r="E1109" i="1"/>
  <c r="K908" i="1"/>
  <c r="L881" i="1"/>
  <c r="K881" i="1"/>
  <c r="J881" i="1"/>
  <c r="I881" i="1"/>
  <c r="H881" i="1"/>
  <c r="G881" i="1"/>
  <c r="F881" i="1"/>
  <c r="E881" i="1"/>
  <c r="M741" i="1"/>
  <c r="J740" i="1"/>
  <c r="J741" i="1" s="1"/>
  <c r="M731" i="1"/>
  <c r="H731" i="1"/>
  <c r="G731" i="1"/>
  <c r="F731" i="1"/>
  <c r="E731" i="1"/>
  <c r="I728" i="1"/>
  <c r="J728" i="1" s="1"/>
  <c r="I727" i="1"/>
  <c r="J727" i="1" s="1"/>
  <c r="K727" i="1" s="1"/>
  <c r="L727" i="1" s="1"/>
  <c r="I725" i="1"/>
  <c r="J725" i="1" s="1"/>
  <c r="K725" i="1" s="1"/>
  <c r="L725" i="1" s="1"/>
  <c r="I724" i="1"/>
  <c r="J724" i="1" s="1"/>
  <c r="K724" i="1" s="1"/>
  <c r="L724" i="1" s="1"/>
  <c r="I723" i="1"/>
  <c r="J723" i="1" s="1"/>
  <c r="K723" i="1" s="1"/>
  <c r="L723" i="1" s="1"/>
  <c r="I722" i="1"/>
  <c r="J722" i="1" s="1"/>
  <c r="K722" i="1" s="1"/>
  <c r="L722" i="1" s="1"/>
  <c r="I721" i="1"/>
  <c r="J721" i="1" s="1"/>
  <c r="K721" i="1" s="1"/>
  <c r="L721" i="1" s="1"/>
  <c r="I720" i="1"/>
  <c r="J720" i="1" s="1"/>
  <c r="K720" i="1" s="1"/>
  <c r="L720" i="1" s="1"/>
  <c r="I719" i="1"/>
  <c r="J719" i="1" s="1"/>
  <c r="K719" i="1" s="1"/>
  <c r="L719" i="1" s="1"/>
  <c r="I718" i="1"/>
  <c r="J718" i="1" s="1"/>
  <c r="K718" i="1" s="1"/>
  <c r="L718" i="1" s="1"/>
  <c r="I717" i="1"/>
  <c r="J717" i="1" s="1"/>
  <c r="K717" i="1" s="1"/>
  <c r="L717" i="1" s="1"/>
  <c r="I716" i="1"/>
  <c r="J716" i="1" s="1"/>
  <c r="K716" i="1" s="1"/>
  <c r="L716" i="1" s="1"/>
  <c r="I715" i="1"/>
  <c r="J715" i="1" s="1"/>
  <c r="K715" i="1" s="1"/>
  <c r="L715" i="1" s="1"/>
  <c r="I714" i="1"/>
  <c r="J714" i="1" s="1"/>
  <c r="K714" i="1" s="1"/>
  <c r="L714" i="1" s="1"/>
  <c r="I713" i="1"/>
  <c r="J713" i="1" s="1"/>
  <c r="K713" i="1" s="1"/>
  <c r="L713" i="1" s="1"/>
  <c r="M701" i="1"/>
  <c r="L701" i="1"/>
  <c r="K701" i="1"/>
  <c r="J701" i="1"/>
  <c r="I701" i="1"/>
  <c r="H701" i="1"/>
  <c r="G701" i="1"/>
  <c r="F701" i="1"/>
  <c r="E695" i="1"/>
  <c r="E701" i="1" s="1"/>
  <c r="L677" i="1"/>
  <c r="K677" i="1"/>
  <c r="J677" i="1"/>
  <c r="I677" i="1"/>
  <c r="H677" i="1"/>
  <c r="G677" i="1"/>
  <c r="F677" i="1"/>
  <c r="E677" i="1"/>
  <c r="M607" i="1"/>
  <c r="L607" i="1"/>
  <c r="J607" i="1"/>
  <c r="G607" i="1"/>
  <c r="F607" i="1"/>
  <c r="E607" i="1"/>
  <c r="I606" i="1"/>
  <c r="K606" i="1" s="1"/>
  <c r="I604" i="1"/>
  <c r="K604" i="1" s="1"/>
  <c r="I603" i="1"/>
  <c r="K603" i="1" s="1"/>
  <c r="I601" i="1"/>
  <c r="K601" i="1" s="1"/>
  <c r="I600" i="1"/>
  <c r="K600" i="1" s="1"/>
  <c r="I599" i="1"/>
  <c r="K599" i="1" s="1"/>
  <c r="I598" i="1"/>
  <c r="K598" i="1" s="1"/>
  <c r="I597" i="1"/>
  <c r="K597" i="1" s="1"/>
  <c r="I596" i="1"/>
  <c r="K596" i="1" s="1"/>
  <c r="I595" i="1"/>
  <c r="K595" i="1" s="1"/>
  <c r="I594" i="1"/>
  <c r="K594" i="1" s="1"/>
  <c r="I593" i="1"/>
  <c r="K593" i="1" s="1"/>
  <c r="I592" i="1"/>
  <c r="K592" i="1" s="1"/>
  <c r="I591" i="1"/>
  <c r="K591" i="1" s="1"/>
  <c r="J579" i="1"/>
  <c r="H579" i="1"/>
  <c r="G579" i="1"/>
  <c r="F579" i="1"/>
  <c r="E579" i="1"/>
  <c r="K578" i="1"/>
  <c r="I577" i="1"/>
  <c r="I576" i="1"/>
  <c r="K576" i="1" s="1"/>
  <c r="I575" i="1"/>
  <c r="K575" i="1" s="1"/>
  <c r="I574" i="1"/>
  <c r="K574" i="1" s="1"/>
  <c r="I572" i="1"/>
  <c r="K572" i="1" s="1"/>
  <c r="I571" i="1"/>
  <c r="K571" i="1" s="1"/>
  <c r="I570" i="1"/>
  <c r="K570" i="1" s="1"/>
  <c r="I569" i="1"/>
  <c r="K569" i="1" s="1"/>
  <c r="I568" i="1"/>
  <c r="K568" i="1" s="1"/>
  <c r="I567" i="1"/>
  <c r="K567" i="1" s="1"/>
  <c r="I566" i="1"/>
  <c r="K566" i="1" s="1"/>
  <c r="L561" i="1"/>
  <c r="J561" i="1"/>
  <c r="H561" i="1"/>
  <c r="G561" i="1"/>
  <c r="F561" i="1"/>
  <c r="E561" i="1"/>
  <c r="I560" i="1"/>
  <c r="K560" i="1" s="1"/>
  <c r="I558" i="1"/>
  <c r="K558" i="1" s="1"/>
  <c r="I557" i="1"/>
  <c r="K557" i="1" s="1"/>
  <c r="I556" i="1"/>
  <c r="K556" i="1" s="1"/>
  <c r="I555" i="1"/>
  <c r="K555" i="1" s="1"/>
  <c r="I554" i="1"/>
  <c r="K554" i="1" s="1"/>
  <c r="I553" i="1"/>
  <c r="K553" i="1" s="1"/>
  <c r="I552" i="1"/>
  <c r="K552" i="1" s="1"/>
  <c r="I550" i="1"/>
  <c r="K550" i="1" s="1"/>
  <c r="I549" i="1"/>
  <c r="K549" i="1" s="1"/>
  <c r="I548" i="1"/>
  <c r="K548" i="1" s="1"/>
  <c r="I547" i="1"/>
  <c r="K547" i="1" s="1"/>
  <c r="I546" i="1"/>
  <c r="K546" i="1" s="1"/>
  <c r="I545" i="1"/>
  <c r="K545" i="1" s="1"/>
  <c r="I544" i="1"/>
  <c r="K544" i="1" s="1"/>
  <c r="M509" i="1"/>
  <c r="L509" i="1"/>
  <c r="K509" i="1"/>
  <c r="J509" i="1"/>
  <c r="I509" i="1"/>
  <c r="H509" i="1"/>
  <c r="G509" i="1"/>
  <c r="F509" i="1"/>
  <c r="E509" i="1"/>
  <c r="M500" i="1"/>
  <c r="L500" i="1"/>
  <c r="K500" i="1"/>
  <c r="J500" i="1"/>
  <c r="I500" i="1"/>
  <c r="H500" i="1"/>
  <c r="G500" i="1"/>
  <c r="F500" i="1"/>
  <c r="E500" i="1"/>
  <c r="M477" i="1"/>
  <c r="L477" i="1"/>
  <c r="K477" i="1"/>
  <c r="J477" i="1"/>
  <c r="I477" i="1"/>
  <c r="H477" i="1"/>
  <c r="G477" i="1"/>
  <c r="F477" i="1"/>
  <c r="E477" i="1"/>
  <c r="M456" i="1"/>
  <c r="L456" i="1"/>
  <c r="K456" i="1"/>
  <c r="J456" i="1"/>
  <c r="I456" i="1"/>
  <c r="H456" i="1"/>
  <c r="G456" i="1"/>
  <c r="F456" i="1"/>
  <c r="E456" i="1"/>
  <c r="M387" i="1"/>
  <c r="L387" i="1"/>
  <c r="K387" i="1"/>
  <c r="J387" i="1"/>
  <c r="I387" i="1"/>
  <c r="H387" i="1"/>
  <c r="G387" i="1"/>
  <c r="F387" i="1"/>
  <c r="E387" i="1"/>
  <c r="L353" i="1"/>
  <c r="K353" i="1"/>
  <c r="J353" i="1"/>
  <c r="I353" i="1"/>
  <c r="H353" i="1"/>
  <c r="G353" i="1"/>
  <c r="F353" i="1"/>
  <c r="E353" i="1"/>
  <c r="L329" i="1"/>
  <c r="K329" i="1"/>
  <c r="J329" i="1"/>
  <c r="I329" i="1"/>
  <c r="H329" i="1"/>
  <c r="G329" i="1"/>
  <c r="F329" i="1"/>
  <c r="E329" i="1"/>
  <c r="L292" i="1"/>
  <c r="K292" i="1"/>
  <c r="J292" i="1"/>
  <c r="I292" i="1"/>
  <c r="H292" i="1"/>
  <c r="G292" i="1"/>
  <c r="F292" i="1"/>
  <c r="E292" i="1"/>
  <c r="L266" i="1"/>
  <c r="K266" i="1"/>
  <c r="J266" i="1"/>
  <c r="I266" i="1"/>
  <c r="H266" i="1"/>
  <c r="G266" i="1"/>
  <c r="F266" i="1"/>
  <c r="E266" i="1"/>
  <c r="M232" i="1"/>
  <c r="L232" i="1"/>
  <c r="K232" i="1"/>
  <c r="J232" i="1"/>
  <c r="I232" i="1"/>
  <c r="H232" i="1"/>
  <c r="G232" i="1"/>
  <c r="F232" i="1"/>
  <c r="E232" i="1"/>
  <c r="L208" i="1"/>
  <c r="K208" i="1"/>
  <c r="J208" i="1"/>
  <c r="I208" i="1"/>
  <c r="H208" i="1"/>
  <c r="G208" i="1"/>
  <c r="F208" i="1"/>
  <c r="E208" i="1"/>
  <c r="M176" i="1"/>
  <c r="L176" i="1"/>
  <c r="K176" i="1"/>
  <c r="J176" i="1"/>
  <c r="I176" i="1"/>
  <c r="H176" i="1"/>
  <c r="G176" i="1"/>
  <c r="F176" i="1"/>
  <c r="E176" i="1"/>
  <c r="M150" i="1"/>
  <c r="L150" i="1"/>
  <c r="K150" i="1"/>
  <c r="J150" i="1"/>
  <c r="I150" i="1"/>
  <c r="H150" i="1"/>
  <c r="G150" i="1"/>
  <c r="F150" i="1"/>
  <c r="E150" i="1"/>
  <c r="L113" i="1"/>
  <c r="K113" i="1"/>
  <c r="J113" i="1"/>
  <c r="I113" i="1"/>
  <c r="H113" i="1"/>
  <c r="G113" i="1"/>
  <c r="F113" i="1"/>
  <c r="E113" i="1"/>
  <c r="L89" i="1"/>
  <c r="K89" i="1"/>
  <c r="J89" i="1"/>
  <c r="I89" i="1"/>
  <c r="H89" i="1"/>
  <c r="G89" i="1"/>
  <c r="F89" i="1"/>
  <c r="E89" i="1"/>
  <c r="E26" i="1"/>
  <c r="F26" i="1"/>
  <c r="G26" i="1"/>
  <c r="H26" i="1"/>
  <c r="I26" i="1"/>
  <c r="J26" i="1"/>
  <c r="K26" i="1"/>
  <c r="L26" i="1"/>
  <c r="L55" i="1"/>
  <c r="K55" i="1"/>
  <c r="J55" i="1"/>
  <c r="I55" i="1"/>
  <c r="H55" i="1"/>
  <c r="G55" i="1"/>
  <c r="F55" i="1"/>
  <c r="E55" i="1"/>
  <c r="K740" i="1" l="1"/>
  <c r="L740" i="1" s="1"/>
  <c r="L741" i="1" s="1"/>
  <c r="I579" i="1"/>
  <c r="I561" i="1"/>
  <c r="K561" i="1"/>
  <c r="K577" i="1"/>
  <c r="K579" i="1" s="1"/>
  <c r="I607" i="1"/>
  <c r="K607" i="1" s="1"/>
  <c r="J731" i="1"/>
  <c r="K728" i="1"/>
  <c r="I731" i="1"/>
  <c r="K741" i="1"/>
  <c r="L728" i="1" l="1"/>
  <c r="L731" i="1" s="1"/>
  <c r="K731" i="1"/>
</calcChain>
</file>

<file path=xl/sharedStrings.xml><?xml version="1.0" encoding="utf-8"?>
<sst xmlns="http://schemas.openxmlformats.org/spreadsheetml/2006/main" count="2828" uniqueCount="1598">
  <si>
    <t>ETABLISSEMENT : UNIVERSITE  NANGUI ABROGOUA</t>
  </si>
  <si>
    <t>UFR : SCIENCES  DE LA NATURE</t>
  </si>
  <si>
    <t>DOMAINE : SCIENCES ET TECHNOLOGIE OU SCIENCES AGRONOMIQUES</t>
  </si>
  <si>
    <t>MENTION : PRODUCTIONS VEGETALES ET ANIMALES</t>
  </si>
  <si>
    <t xml:space="preserve">SPECIALITE : PRODUCTIONS VEGETALES /PRODUCTIONS ANIMALES </t>
  </si>
  <si>
    <t>GRADE : LICENCE</t>
  </si>
  <si>
    <t>SEMESTRE 1</t>
  </si>
  <si>
    <t>CONTENUS DES ENSEIGNEMENTS Y COMPRIS LES STAGES</t>
  </si>
  <si>
    <t>Masse Horaire semestrielle</t>
  </si>
  <si>
    <t>Crédit ECUE</t>
  </si>
  <si>
    <t>CECT     UE</t>
  </si>
  <si>
    <t>MODALITE D'EVALUATION</t>
  </si>
  <si>
    <t>ENSEIGNANTS RESPONSABLES DE L'UE</t>
  </si>
  <si>
    <t>Code UE</t>
  </si>
  <si>
    <t xml:space="preserve">UE </t>
  </si>
  <si>
    <t>Code ECUE</t>
  </si>
  <si>
    <t>ECUE</t>
  </si>
  <si>
    <t>CM</t>
  </si>
  <si>
    <t>TD</t>
  </si>
  <si>
    <t>TP</t>
  </si>
  <si>
    <t>PROJET</t>
  </si>
  <si>
    <t>TOTAL HE</t>
  </si>
  <si>
    <t>TPE</t>
  </si>
  <si>
    <t>CTT</t>
  </si>
  <si>
    <t>CC (%)</t>
  </si>
  <si>
    <t>ET (%)</t>
  </si>
  <si>
    <t>UE de connaissances Fondamentales</t>
  </si>
  <si>
    <t>MQL100</t>
  </si>
  <si>
    <t>Mécanique quantique et liaison chimique</t>
  </si>
  <si>
    <t>MQL101</t>
  </si>
  <si>
    <t>Mécanique quantique</t>
  </si>
  <si>
    <t>Prof ZIAO Nahosse</t>
  </si>
  <si>
    <t>MQL102</t>
  </si>
  <si>
    <t>Liaison chimique</t>
  </si>
  <si>
    <t>TRA100</t>
  </si>
  <si>
    <t>Thermodynamique, Cinétique Chimique et réaction en solution aqueuse</t>
  </si>
  <si>
    <t>TRA101</t>
  </si>
  <si>
    <t>Thermodynamique et Cinétique Chimique</t>
  </si>
  <si>
    <r>
      <rPr>
        <sz val="9"/>
        <color theme="1"/>
        <rFont val="Calibri"/>
        <family val="2"/>
        <scheme val="minor"/>
      </rPr>
      <t>Dr ABOLLE Aboll</t>
    </r>
    <r>
      <rPr>
        <sz val="11"/>
        <color theme="1"/>
        <rFont val="Calibri"/>
        <family val="2"/>
        <scheme val="minor"/>
      </rPr>
      <t>e</t>
    </r>
  </si>
  <si>
    <t>TRA102</t>
  </si>
  <si>
    <t>Réaction en solution aqueuse</t>
  </si>
  <si>
    <t>MEO100</t>
  </si>
  <si>
    <t>Mécanique et optique</t>
  </si>
  <si>
    <t>MEO101</t>
  </si>
  <si>
    <t>Mécanique</t>
  </si>
  <si>
    <t>Dr MC TCHETCHE Yao</t>
  </si>
  <si>
    <t>MEO102</t>
  </si>
  <si>
    <t>Optique</t>
  </si>
  <si>
    <t>ELE100</t>
  </si>
  <si>
    <t>Electrostatique et électricité</t>
  </si>
  <si>
    <t>ELE101</t>
  </si>
  <si>
    <t xml:space="preserve">Electrostatique </t>
  </si>
  <si>
    <t>Dr KEITA Melalie</t>
  </si>
  <si>
    <t>ELE102</t>
  </si>
  <si>
    <t>Electricité</t>
  </si>
  <si>
    <t>BMS100</t>
  </si>
  <si>
    <t>Biochimie structurale</t>
  </si>
  <si>
    <t>BMS101</t>
  </si>
  <si>
    <t>Structure des molécules simples</t>
  </si>
  <si>
    <t>Prof KOUAME Patrice</t>
  </si>
  <si>
    <t>BMS102</t>
  </si>
  <si>
    <t>structure des molécules de taille moyenne</t>
  </si>
  <si>
    <t>UE de Méthodologie</t>
  </si>
  <si>
    <t>RED100</t>
  </si>
  <si>
    <t>Recherche documentaire</t>
  </si>
  <si>
    <t>Technique de recherche documentaire</t>
  </si>
  <si>
    <t>M. WOGNIN Desire</t>
  </si>
  <si>
    <t>UE de Culture Générale</t>
  </si>
  <si>
    <t>ANG100</t>
  </si>
  <si>
    <t>Anglais structural</t>
  </si>
  <si>
    <t>ANG101</t>
  </si>
  <si>
    <t>listening (Anglais)</t>
  </si>
  <si>
    <t>Mme ATOKPA</t>
  </si>
  <si>
    <t>ANG102</t>
  </si>
  <si>
    <t>Writing (Anglais)</t>
  </si>
  <si>
    <t>Semestre 2</t>
  </si>
  <si>
    <t>PGI100</t>
  </si>
  <si>
    <t>Pétrologie et Géodynamique Interne</t>
  </si>
  <si>
    <t>PGI101</t>
  </si>
  <si>
    <t xml:space="preserve">Pétrologie </t>
  </si>
  <si>
    <t>Prof ANGUI Pascal</t>
  </si>
  <si>
    <t>PGI102</t>
  </si>
  <si>
    <t>Géodynamique Interne</t>
  </si>
  <si>
    <t>PGE100</t>
  </si>
  <si>
    <t>Pédologie et Géodynamique Externe</t>
  </si>
  <si>
    <t>PGE101</t>
  </si>
  <si>
    <t xml:space="preserve">Pédologie </t>
  </si>
  <si>
    <t>Dr TOURE Siedou</t>
  </si>
  <si>
    <t>PGE102</t>
  </si>
  <si>
    <t>Géodynamique Externe</t>
  </si>
  <si>
    <t>BIC100</t>
  </si>
  <si>
    <t>Biologie Cellulaire</t>
  </si>
  <si>
    <t>BIC101</t>
  </si>
  <si>
    <t>Cellules et virus</t>
  </si>
  <si>
    <t>Prof YAO Kouakou/ Prof OTCHOUMOU Atcho</t>
  </si>
  <si>
    <t>BIC102</t>
  </si>
  <si>
    <t>Membrane plasmique et hyaloplasme</t>
  </si>
  <si>
    <t>BIC103</t>
  </si>
  <si>
    <t>Système membranaire interne - Péroxysomes et organites de conversion d'énergie</t>
  </si>
  <si>
    <t>BID100</t>
  </si>
  <si>
    <t>Biologie du Développement</t>
  </si>
  <si>
    <t>BID101</t>
  </si>
  <si>
    <t>Grandes étapes du développement</t>
  </si>
  <si>
    <t>Prof. MAMADOU Dagnogo</t>
  </si>
  <si>
    <t>BID102</t>
  </si>
  <si>
    <t>Développement embryonnaire des invertébrés</t>
  </si>
  <si>
    <t>BID103</t>
  </si>
  <si>
    <t>Développement embryonnaire des vertébrés</t>
  </si>
  <si>
    <t>MAT100</t>
  </si>
  <si>
    <t>Algèbre et analyse</t>
  </si>
  <si>
    <t>MATH101</t>
  </si>
  <si>
    <t>Algèbre</t>
  </si>
  <si>
    <t>Dr MC DIAGANA Youssouf</t>
  </si>
  <si>
    <t>MATH102</t>
  </si>
  <si>
    <t>Analyse</t>
  </si>
  <si>
    <t>IIF100</t>
  </si>
  <si>
    <t>Initiation à l'informatique</t>
  </si>
  <si>
    <t>IIF101</t>
  </si>
  <si>
    <t>Connaissance de l'ordinateur</t>
  </si>
  <si>
    <t>Dr COULIBALY Talnan Honoré</t>
  </si>
  <si>
    <t>IIF102</t>
  </si>
  <si>
    <t>Utilisation de logiciels de base</t>
  </si>
  <si>
    <t>UEL100</t>
  </si>
  <si>
    <t>UE libre *</t>
  </si>
  <si>
    <t>Technique de communication</t>
  </si>
  <si>
    <t>Dr TRAORE El Hadj</t>
  </si>
  <si>
    <t>Civilisation africaine</t>
  </si>
  <si>
    <t>Droit de l'eau</t>
  </si>
  <si>
    <t>Droit de l'environnement</t>
  </si>
  <si>
    <t>Agro-économie</t>
  </si>
  <si>
    <t>* Option</t>
  </si>
  <si>
    <t>Total semestre 1</t>
  </si>
  <si>
    <t>SEMESTRE 3</t>
  </si>
  <si>
    <t>BIA200</t>
  </si>
  <si>
    <t>Biologie Animale</t>
  </si>
  <si>
    <t>BIA201</t>
  </si>
  <si>
    <t>Protozoaires</t>
  </si>
  <si>
    <t>Prof MAMADOU Dagnogo</t>
  </si>
  <si>
    <t>BIA202</t>
  </si>
  <si>
    <t>Métazoaires</t>
  </si>
  <si>
    <t>PHA200</t>
  </si>
  <si>
    <t>Physiologie Animale</t>
  </si>
  <si>
    <t>PHA201</t>
  </si>
  <si>
    <t>Transport transmembranaire et transépithelial</t>
  </si>
  <si>
    <t>Prof ANGOUE Paul</t>
  </si>
  <si>
    <t>PHA202</t>
  </si>
  <si>
    <t>Tissu nerveux</t>
  </si>
  <si>
    <t>PHA203</t>
  </si>
  <si>
    <t>Contraction musculaire</t>
  </si>
  <si>
    <t>BIV200</t>
  </si>
  <si>
    <t>Biologie Végétale</t>
  </si>
  <si>
    <t>BIV201</t>
  </si>
  <si>
    <t>Organisation et morphologie des spermaphytes</t>
  </si>
  <si>
    <t>Dr MC TRA Bi Honora</t>
  </si>
  <si>
    <t>BIV202</t>
  </si>
  <si>
    <t>Organisation reproduction des procariotes, des thallophytes des cormophytes non spermaphytes</t>
  </si>
  <si>
    <t>PHV200</t>
  </si>
  <si>
    <t>Physiologie Végétale</t>
  </si>
  <si>
    <t>PHV201</t>
  </si>
  <si>
    <t>Nutrition des plantes</t>
  </si>
  <si>
    <t>Prof. DOGBO Odette</t>
  </si>
  <si>
    <t>PHV202</t>
  </si>
  <si>
    <t>Résistance des plantes au stress</t>
  </si>
  <si>
    <t>GEN200</t>
  </si>
  <si>
    <t>Génétique</t>
  </si>
  <si>
    <t>GEN201</t>
  </si>
  <si>
    <t>Connaissance fondamentale en génétique</t>
  </si>
  <si>
    <t>Prof. ADEPO epouse Gourene</t>
  </si>
  <si>
    <t>GEN202</t>
  </si>
  <si>
    <t>Mutation génétique</t>
  </si>
  <si>
    <t>CHO200</t>
  </si>
  <si>
    <t>Chimie Organique</t>
  </si>
  <si>
    <t>CHO201</t>
  </si>
  <si>
    <t>Chimie organique générale</t>
  </si>
  <si>
    <t>Prof. TRAORE Karim</t>
  </si>
  <si>
    <t>CHO202</t>
  </si>
  <si>
    <t>Chimie organique des structures</t>
  </si>
  <si>
    <t>GHS200</t>
  </si>
  <si>
    <t>Géologie Historique et Structurale</t>
  </si>
  <si>
    <t>GHS201</t>
  </si>
  <si>
    <t>Géologie Historique</t>
  </si>
  <si>
    <t>Dr MC N'GO Alexis</t>
  </si>
  <si>
    <t>GHS202</t>
  </si>
  <si>
    <t>Géologie Structurale</t>
  </si>
  <si>
    <t>UEL200</t>
  </si>
  <si>
    <t>Loisir *</t>
  </si>
  <si>
    <t>Sport</t>
  </si>
  <si>
    <t>Prof. YAO Kouakou</t>
  </si>
  <si>
    <t>Musique</t>
  </si>
  <si>
    <t>Danse</t>
  </si>
  <si>
    <t>* au choix</t>
  </si>
  <si>
    <t>semestre n°4</t>
  </si>
  <si>
    <t>MAT200</t>
  </si>
  <si>
    <t>Probabilité et statistique</t>
  </si>
  <si>
    <t>MATH201</t>
  </si>
  <si>
    <t xml:space="preserve">Probabilité </t>
  </si>
  <si>
    <t>Dr.MC. DIAGANA Youssouf</t>
  </si>
  <si>
    <t>MATH202</t>
  </si>
  <si>
    <t>statistique</t>
  </si>
  <si>
    <t>HYD200</t>
  </si>
  <si>
    <t>Hydrologie et Hydrogéologie générale</t>
  </si>
  <si>
    <t>HYD201</t>
  </si>
  <si>
    <t>Hydrologie générale</t>
  </si>
  <si>
    <t>Prof GOULA Bi Albert</t>
  </si>
  <si>
    <t>HYD202</t>
  </si>
  <si>
    <t>Hydrogéologie générale</t>
  </si>
  <si>
    <t>MBA200</t>
  </si>
  <si>
    <t>Biochimie des macromolécules</t>
  </si>
  <si>
    <t>MBA201</t>
  </si>
  <si>
    <t>Structure des macromolécules</t>
  </si>
  <si>
    <t>MBA202</t>
  </si>
  <si>
    <t>Notions de métabolisme des macromolécules</t>
  </si>
  <si>
    <t>PHY200</t>
  </si>
  <si>
    <t>Thermodynamique et éléments de physiques des particules</t>
  </si>
  <si>
    <t>PHY201</t>
  </si>
  <si>
    <t xml:space="preserve">Thermodynamique </t>
  </si>
  <si>
    <t>Dr MC KRE Raymond</t>
  </si>
  <si>
    <t>PHY202</t>
  </si>
  <si>
    <t>Eléments de physiques des particules</t>
  </si>
  <si>
    <t>BEB200</t>
  </si>
  <si>
    <t>Enzymologie et Bioénergétique</t>
  </si>
  <si>
    <t>BEB201</t>
  </si>
  <si>
    <t>Cinétique enzymatique</t>
  </si>
  <si>
    <t>BEB202</t>
  </si>
  <si>
    <t>Bioénergetique</t>
  </si>
  <si>
    <t>MIG200</t>
  </si>
  <si>
    <t>Microbiologie générale</t>
  </si>
  <si>
    <t>MIG201</t>
  </si>
  <si>
    <t>Classification</t>
  </si>
  <si>
    <t>Prof KOUSSEMON Marina</t>
  </si>
  <si>
    <t>MIG202</t>
  </si>
  <si>
    <t>Rôle des microorganismes</t>
  </si>
  <si>
    <t>IRS200</t>
  </si>
  <si>
    <t>Initiation à la redaction scientifique</t>
  </si>
  <si>
    <t>Prof . ZORO bi Arsène</t>
  </si>
  <si>
    <t>IPR200</t>
  </si>
  <si>
    <t>Insertion professionnel</t>
  </si>
  <si>
    <t>IPR201</t>
  </si>
  <si>
    <t>Milieu agroalimentaire</t>
  </si>
  <si>
    <t>Dr MC YEO Kolo</t>
  </si>
  <si>
    <t>IPR202</t>
  </si>
  <si>
    <t>Secteur de l'eau</t>
  </si>
  <si>
    <t>IPR203</t>
  </si>
  <si>
    <t>Productions animales et végétales</t>
  </si>
  <si>
    <t>DOMAINE : SCIENCES AGRONOMIQUES</t>
  </si>
  <si>
    <t>SPECIALITE : PROTECTION DES VEGETAUX ET DE L'ENVIRONNEMENT</t>
  </si>
  <si>
    <t xml:space="preserve">GRADE : LICENCE  </t>
  </si>
  <si>
    <t>SEMESTRE n° 5</t>
  </si>
  <si>
    <t>CONTENUS DES ENSEIGNEMENTS : INTITULES DES UE ET ECUE</t>
  </si>
  <si>
    <t>MASSE HORAIRE SEMESTRIELLE</t>
  </si>
  <si>
    <t>CREDIT</t>
  </si>
  <si>
    <t>CECT UE</t>
  </si>
  <si>
    <t>CODE UE</t>
  </si>
  <si>
    <t>UE</t>
  </si>
  <si>
    <t>CODE ECUE</t>
  </si>
  <si>
    <t>CM </t>
  </si>
  <si>
    <t>FAS300</t>
  </si>
  <si>
    <t>Fertilité et</t>
  </si>
  <si>
    <t>FAS301</t>
  </si>
  <si>
    <t>Pédologie et Pédopaysages</t>
  </si>
  <si>
    <t>Dr Bredoumi</t>
  </si>
  <si>
    <t>amandement des sols</t>
  </si>
  <si>
    <t>FAS302</t>
  </si>
  <si>
    <t>Potentialité et fertilisation des sols de CI</t>
  </si>
  <si>
    <t>Soumaila</t>
  </si>
  <si>
    <t>PDV300</t>
  </si>
  <si>
    <t xml:space="preserve">Physiologie du </t>
  </si>
  <si>
    <t>PDV301</t>
  </si>
  <si>
    <t>Hormonologie</t>
  </si>
  <si>
    <t>Pr Koné</t>
  </si>
  <si>
    <t>développement</t>
  </si>
  <si>
    <t>PDV302</t>
  </si>
  <si>
    <t>initiation à la Culture In Vitro</t>
  </si>
  <si>
    <t>Mongomaké</t>
  </si>
  <si>
    <t>végétal</t>
  </si>
  <si>
    <t>PDV303</t>
  </si>
  <si>
    <t>Croissance et dvpm de pltes</t>
  </si>
  <si>
    <t>TPV300</t>
  </si>
  <si>
    <t xml:space="preserve">Techniques de </t>
  </si>
  <si>
    <t>TPV301</t>
  </si>
  <si>
    <t>Itinéraire techniques des cultures maraichères et vivrières</t>
  </si>
  <si>
    <t>Dr MC Kouadio</t>
  </si>
  <si>
    <t>Production</t>
  </si>
  <si>
    <t>TPV302</t>
  </si>
  <si>
    <t xml:space="preserve">Itinéraire techniques des cultures industrielles et des plantes ornementales </t>
  </si>
  <si>
    <t>Y. Lambert</t>
  </si>
  <si>
    <t>végétale</t>
  </si>
  <si>
    <t>TPV303</t>
  </si>
  <si>
    <t>Techniques d'irrigation</t>
  </si>
  <si>
    <t>ZOA300</t>
  </si>
  <si>
    <t>Zoologie</t>
  </si>
  <si>
    <t>ZOA301</t>
  </si>
  <si>
    <t>Arthropodes ravageurs</t>
  </si>
  <si>
    <t>Pr Dagnogo</t>
  </si>
  <si>
    <t>Agricole</t>
  </si>
  <si>
    <t>ZOA302</t>
  </si>
  <si>
    <t>Vertébrés ravageurs</t>
  </si>
  <si>
    <t>Mamadou</t>
  </si>
  <si>
    <t>ZOA303</t>
  </si>
  <si>
    <t>Autres groupes d'animaux ravageurs</t>
  </si>
  <si>
    <t>BOT300</t>
  </si>
  <si>
    <t>Botanique</t>
  </si>
  <si>
    <t>BOT301</t>
  </si>
  <si>
    <t>Systématique</t>
  </si>
  <si>
    <t>BOT302</t>
  </si>
  <si>
    <t>Préadaptation</t>
  </si>
  <si>
    <t>BOT303</t>
  </si>
  <si>
    <t>Biologie de la reproduction végétale</t>
  </si>
  <si>
    <t>CDA300</t>
  </si>
  <si>
    <t>Collecte de données et analyses statistiques</t>
  </si>
  <si>
    <t>CDA301</t>
  </si>
  <si>
    <t>Méthodes de collectes des données</t>
  </si>
  <si>
    <t>Pr ZORO BI</t>
  </si>
  <si>
    <t>Analyses statistiques (Univariée et Bivariées)</t>
  </si>
  <si>
    <t>REP300</t>
  </si>
  <si>
    <t>Rédaction de projets</t>
  </si>
  <si>
    <t>ANA300</t>
  </si>
  <si>
    <t>Anglais d'acquisition</t>
  </si>
  <si>
    <t>Mme Attopka</t>
  </si>
  <si>
    <t>Total Semestre 5</t>
  </si>
  <si>
    <t>Sémestre 6</t>
  </si>
  <si>
    <t>GEF300</t>
  </si>
  <si>
    <t>Génétique Formelle</t>
  </si>
  <si>
    <t>GEF301</t>
  </si>
  <si>
    <t>Transmission des caractères par reproduction sexuée</t>
  </si>
  <si>
    <t>GEF302</t>
  </si>
  <si>
    <t>Génétique des haploïdes et interaction intergénétque</t>
  </si>
  <si>
    <t>Dr MC SIE Raoul</t>
  </si>
  <si>
    <t>GEF303</t>
  </si>
  <si>
    <t>Recombinaison intergénétique chez les microorganismes</t>
  </si>
  <si>
    <t>PHG300</t>
  </si>
  <si>
    <t>Phytopathologie générale</t>
  </si>
  <si>
    <t>PHG301</t>
  </si>
  <si>
    <t>Agents phytopathogènes</t>
  </si>
  <si>
    <t>PHG302</t>
  </si>
  <si>
    <t>Diagnostique des maladies des plantes</t>
  </si>
  <si>
    <t>Pr Diallo Atta</t>
  </si>
  <si>
    <t>PHG303</t>
  </si>
  <si>
    <t>Techniques d’identification et méthodes de lutte contres les agents phytopathogènes</t>
  </si>
  <si>
    <t>CHP300</t>
  </si>
  <si>
    <t xml:space="preserve">Chimie des pesticides </t>
  </si>
  <si>
    <t>CHP301</t>
  </si>
  <si>
    <t>Généralités et formulation des pesticides</t>
  </si>
  <si>
    <t>Pr Dembélé</t>
  </si>
  <si>
    <t>CHP302</t>
  </si>
  <si>
    <t>Législation et normes sur les pesticides</t>
  </si>
  <si>
    <t>Ardjouma</t>
  </si>
  <si>
    <t>CHP303</t>
  </si>
  <si>
    <t>Usage sécurisé des pesticides</t>
  </si>
  <si>
    <t>ECO300</t>
  </si>
  <si>
    <t>Ecologie</t>
  </si>
  <si>
    <t>ECO301</t>
  </si>
  <si>
    <t>Notion de base d'écologie générale</t>
  </si>
  <si>
    <t>ECO302</t>
  </si>
  <si>
    <t>Ecologie des communautés</t>
  </si>
  <si>
    <t>Dr MC Tiho Seydou</t>
  </si>
  <si>
    <t>Bioclimatologie et indicateurs des changements climatiques</t>
  </si>
  <si>
    <t>FOT300</t>
  </si>
  <si>
    <t>Foresterie et Télédétection</t>
  </si>
  <si>
    <t>FOT301</t>
  </si>
  <si>
    <t>Foresterie</t>
  </si>
  <si>
    <t>Dr MC Bakayoko adama</t>
  </si>
  <si>
    <t>FOT302</t>
  </si>
  <si>
    <t>Télédétection</t>
  </si>
  <si>
    <t>MPP300</t>
  </si>
  <si>
    <t>Malherbologie et plantes parasites des cultures</t>
  </si>
  <si>
    <t>MPP301</t>
  </si>
  <si>
    <t>Biologie et systématique des mauvaises herbes et de plantes parasites</t>
  </si>
  <si>
    <t>Dr MC Koné Moussa</t>
  </si>
  <si>
    <t>Méthodes de lutte contre les mauvaises herbes et les plantes parasites</t>
  </si>
  <si>
    <t>ERU300</t>
  </si>
  <si>
    <t>Economie rurale</t>
  </si>
  <si>
    <t>ERU301</t>
  </si>
  <si>
    <t>Législation foncière</t>
  </si>
  <si>
    <t>Dr Traoré El Hadj</t>
  </si>
  <si>
    <t>ERU302</t>
  </si>
  <si>
    <t>Economie</t>
  </si>
  <si>
    <t>UE de Culture Spécialité</t>
  </si>
  <si>
    <t>STA300</t>
  </si>
  <si>
    <t>Stage</t>
  </si>
  <si>
    <t>Stage pratique</t>
  </si>
  <si>
    <t>Total Semestre 6</t>
  </si>
  <si>
    <t>Dr Bakayoko Adama</t>
  </si>
  <si>
    <t>Dr Koné Moussa</t>
  </si>
  <si>
    <t>MENTION :PRODUCTIONS VEGETALES ET ANIMALE</t>
  </si>
  <si>
    <t>SPECIALITE : PRODUCTIONS ANIMALES</t>
  </si>
  <si>
    <t xml:space="preserve">GRADE : LICENCE </t>
  </si>
  <si>
    <t>SEMESTRE 5</t>
  </si>
  <si>
    <t>ZEA300</t>
  </si>
  <si>
    <t>Zootechnie générale et Extérieur</t>
  </si>
  <si>
    <t>ZEA301</t>
  </si>
  <si>
    <t>Zootechnie générale</t>
  </si>
  <si>
    <t xml:space="preserve">Dr Kouao Jean
</t>
  </si>
  <si>
    <t>ZEA302</t>
  </si>
  <si>
    <t>Extéreur</t>
  </si>
  <si>
    <t>Dr Binaté Mamdou</t>
  </si>
  <si>
    <t>HIA300</t>
  </si>
  <si>
    <t>Histologie 
fonctionnelle et anatomie comparée</t>
  </si>
  <si>
    <t>HIA301</t>
  </si>
  <si>
    <t>Histologie fonctionnelle</t>
  </si>
  <si>
    <t>Dr MC Soro Dofara</t>
  </si>
  <si>
    <t>HIA302</t>
  </si>
  <si>
    <t>Anatomie pathologique</t>
  </si>
  <si>
    <t>Dr Ketremindié Louis</t>
  </si>
  <si>
    <t>HIA303</t>
  </si>
  <si>
    <t>Anatomie comparée</t>
  </si>
  <si>
    <t>UE de Spécialité</t>
  </si>
  <si>
    <t>APA300</t>
  </si>
  <si>
    <t>Agrostologie 
et Aménagements agro-pastoraux</t>
  </si>
  <si>
    <t>APA301</t>
  </si>
  <si>
    <t>Aménagements
 agro-pastoraux</t>
  </si>
  <si>
    <t>Dr Koffi S.</t>
  </si>
  <si>
    <t>APA302</t>
  </si>
  <si>
    <t>Agrostologie</t>
  </si>
  <si>
    <t>Dr Bodji Clément</t>
  </si>
  <si>
    <t>Alimentation
 et nutrition animales</t>
  </si>
  <si>
    <t>ANA301</t>
  </si>
  <si>
    <t>Digestibilité des aliments</t>
  </si>
  <si>
    <t>Dr Traoré Bêh</t>
  </si>
  <si>
    <t>ANA302</t>
  </si>
  <si>
    <t>Techniques d’analyse et 
formulation des rations</t>
  </si>
  <si>
    <t>Dr Kimsé Moussa</t>
  </si>
  <si>
    <t>BIS300</t>
  </si>
  <si>
    <t>Biosécurité</t>
  </si>
  <si>
    <t>BIS301</t>
  </si>
  <si>
    <t>Risques biologiques</t>
  </si>
  <si>
    <t>Dr Etchian Assoi Olivier</t>
  </si>
  <si>
    <t>BIS302</t>
  </si>
  <si>
    <t>Mesure de confinement et procédures de sécurité</t>
  </si>
  <si>
    <t>AMG300</t>
  </si>
  <si>
    <t>Amélioration génétique 
des animaux d'élevage</t>
  </si>
  <si>
    <t>AMG301</t>
  </si>
  <si>
    <t>Principes de la génétique 
des populations animales</t>
  </si>
  <si>
    <t xml:space="preserve">Prof Adepo-Gourene  </t>
  </si>
  <si>
    <t>AMG302</t>
  </si>
  <si>
    <t>Sélection animale</t>
  </si>
  <si>
    <t>Dr N'Dri Lydie</t>
  </si>
  <si>
    <t>CDS300</t>
  </si>
  <si>
    <t>Collecte des données
 et analyse statistique</t>
  </si>
  <si>
    <t>CDS301</t>
  </si>
  <si>
    <t>Méthodes de collecte 
des données</t>
  </si>
  <si>
    <t>Prof Zoro Bi A.</t>
  </si>
  <si>
    <t>CDS302</t>
  </si>
  <si>
    <t>Analyse univariée
 et bivariées</t>
  </si>
  <si>
    <t>MRP300</t>
  </si>
  <si>
    <t>Méthode de rédaction
 de projet</t>
  </si>
  <si>
    <t>Dr MC Yéo Kolo</t>
  </si>
  <si>
    <t>AAC300</t>
  </si>
  <si>
    <t xml:space="preserve">Anglais d’acquisition </t>
  </si>
  <si>
    <t>Mr Gbeada Enerst</t>
  </si>
  <si>
    <t>SEMESTRE 6</t>
  </si>
  <si>
    <t>PAT300</t>
  </si>
  <si>
    <t>Pathologies animales</t>
  </si>
  <si>
    <t>PAT301</t>
  </si>
  <si>
    <t>Affections microbiennes</t>
  </si>
  <si>
    <t>Dr Ouattara Koffi Nouho</t>
  </si>
  <si>
    <t>PAT302</t>
  </si>
  <si>
    <t>Affections parasitaires</t>
  </si>
  <si>
    <t>PAT303</t>
  </si>
  <si>
    <t>Affections métaboliques</t>
  </si>
  <si>
    <t>PDM300</t>
  </si>
  <si>
    <t>Production des monogastriques</t>
  </si>
  <si>
    <t>PDM301</t>
  </si>
  <si>
    <t>Aviculture</t>
  </si>
  <si>
    <t>PDM302</t>
  </si>
  <si>
    <t>Porciculture</t>
  </si>
  <si>
    <t>Mr Yéo Pevanny S.</t>
  </si>
  <si>
    <t>PDR300</t>
  </si>
  <si>
    <t>Production des ruminants</t>
  </si>
  <si>
    <t>PDR301</t>
  </si>
  <si>
    <t>Production ovine et caprine</t>
  </si>
  <si>
    <t>Dr Komara Moussa</t>
  </si>
  <si>
    <t>PDR302</t>
  </si>
  <si>
    <t>Production bovine</t>
  </si>
  <si>
    <t>EDE300</t>
  </si>
  <si>
    <t>Elévage en 
développement</t>
  </si>
  <si>
    <t>EDE301</t>
  </si>
  <si>
    <t>Cuniculture</t>
  </si>
  <si>
    <t>EDE302</t>
  </si>
  <si>
    <t>Apiculture</t>
  </si>
  <si>
    <t>Dr Iritié Bruno Marcel</t>
  </si>
  <si>
    <t>EDE303</t>
  </si>
  <si>
    <t>Aulacodicultureet Achatiniculture</t>
  </si>
  <si>
    <t xml:space="preserve">Dr MC Soro Dofara et Dr Karamoko Mamadou </t>
  </si>
  <si>
    <t>PEA300</t>
  </si>
  <si>
    <t>Pêche et aquaculture</t>
  </si>
  <si>
    <t>PEA301</t>
  </si>
  <si>
    <t>Pêche</t>
  </si>
  <si>
    <t>Prof Nda Konan</t>
  </si>
  <si>
    <t>PEA302</t>
  </si>
  <si>
    <t>Aquaculture</t>
  </si>
  <si>
    <t>Prof Yao Kouakou</t>
  </si>
  <si>
    <t>EGB300</t>
  </si>
  <si>
    <t>Ecologie générale 
et Bioclimatologie</t>
  </si>
  <si>
    <t>EGB301</t>
  </si>
  <si>
    <t xml:space="preserve">Ecologie générale </t>
  </si>
  <si>
    <t>Prof Otchoumou A.</t>
  </si>
  <si>
    <t>EGB302</t>
  </si>
  <si>
    <t>Bioclimatologie</t>
  </si>
  <si>
    <t>Dr Karamoko Mamadou</t>
  </si>
  <si>
    <t>OGP300</t>
  </si>
  <si>
    <t>Organisation et gestion des professionnels d’élevage et recherche d’emploi</t>
  </si>
  <si>
    <t>OGP301</t>
  </si>
  <si>
    <t>Gestion des organisations professionnelles</t>
  </si>
  <si>
    <t>OGP302</t>
  </si>
  <si>
    <t>Leadership et 
développement personnel</t>
  </si>
  <si>
    <t>OGP303</t>
  </si>
  <si>
    <t>Technique de recherche
 d’emploi</t>
  </si>
  <si>
    <t>Mr. Anoh L. Serge</t>
  </si>
  <si>
    <t>STI300</t>
  </si>
  <si>
    <t xml:space="preserve">Stage d’immersion </t>
  </si>
  <si>
    <t>Stage d’immersion</t>
  </si>
  <si>
    <t>Dr. Etchian</t>
  </si>
  <si>
    <t>DOMAINE : SCIENCES ET TECHNOLOGIES</t>
  </si>
  <si>
    <t>MENTION : BIOLOGIE SANTE</t>
  </si>
  <si>
    <t xml:space="preserve">SPECIALITE :BOTANIQUE ET PHYTOTHERAPIE </t>
  </si>
  <si>
    <t>GRADE :LICENCE  / SEMESTRE n°5</t>
  </si>
  <si>
    <t>SYA300</t>
  </si>
  <si>
    <t>Systématique des angiospermes</t>
  </si>
  <si>
    <t>SYA301</t>
  </si>
  <si>
    <t>Systématique des monocotylédones</t>
  </si>
  <si>
    <t>Dr MC BAKAYOKO ADAMA</t>
  </si>
  <si>
    <t>SYA302</t>
  </si>
  <si>
    <t>Systématique des dicotylédones</t>
  </si>
  <si>
    <t>AHH300</t>
  </si>
  <si>
    <t>Anatomie humaine générale</t>
  </si>
  <si>
    <t>AHH301</t>
  </si>
  <si>
    <t>Muscles</t>
  </si>
  <si>
    <t>PROF KASSAANYOU SALAMI</t>
  </si>
  <si>
    <t>AHH302</t>
  </si>
  <si>
    <t>Tissus conjonctif et système respiratoire</t>
  </si>
  <si>
    <t>Ecologie générale et bioclimatologie</t>
  </si>
  <si>
    <t>Ecologie générale</t>
  </si>
  <si>
    <t xml:space="preserve">PROF OTCHOUMOU A. </t>
  </si>
  <si>
    <t>ETH300</t>
  </si>
  <si>
    <t>Ethnobotanique</t>
  </si>
  <si>
    <t>ETH301</t>
  </si>
  <si>
    <t>Ethnobotanique descriptive</t>
  </si>
  <si>
    <t>Dr MC TRA BI</t>
  </si>
  <si>
    <t>ETH302</t>
  </si>
  <si>
    <t>Ethnobotanique quantitative</t>
  </si>
  <si>
    <t>Collecte des données et analyse statistique</t>
  </si>
  <si>
    <t>Méthode de collecte des données</t>
  </si>
  <si>
    <t>PROF ZORO BI</t>
  </si>
  <si>
    <t>Analyse univariée et bivariée</t>
  </si>
  <si>
    <t>Dr MC KONE MAMIDOU</t>
  </si>
  <si>
    <t>Mesure de confinement et procédure de sécurité</t>
  </si>
  <si>
    <t>ANG300</t>
  </si>
  <si>
    <t>Anglais</t>
  </si>
  <si>
    <t>Anglais d'aquisition</t>
  </si>
  <si>
    <t>MME ATOKPA</t>
  </si>
  <si>
    <t>Méthode de rédaction de projet</t>
  </si>
  <si>
    <t>Dr MC YEO KOLO</t>
  </si>
  <si>
    <t>TRE300</t>
  </si>
  <si>
    <t>Technique de recherche d'emploi</t>
  </si>
  <si>
    <t>MR DIARRA FATOGOMA</t>
  </si>
  <si>
    <t>AJE300</t>
  </si>
  <si>
    <t>Aspect juridique et éthique de la médecine traditionnelle</t>
  </si>
  <si>
    <t>Dr KROA EHOULE</t>
  </si>
  <si>
    <t>STAGE</t>
  </si>
  <si>
    <t>Semestre 6</t>
  </si>
  <si>
    <t>PHYSIOLOGIE DES GRANDES FONCTIONS</t>
  </si>
  <si>
    <t>PGF301</t>
  </si>
  <si>
    <t>SYSTÈME NERVEUX</t>
  </si>
  <si>
    <t>Dr MCKOUAKOU LEANDRE</t>
  </si>
  <si>
    <t>PGF302</t>
  </si>
  <si>
    <t>EXPLORATION FONCTIONNELLE RESPIRATOIRE</t>
  </si>
  <si>
    <t>PGF303</t>
  </si>
  <si>
    <t>SYSTÈME DIGESTIF ET RENAL</t>
  </si>
  <si>
    <t>MPM300</t>
  </si>
  <si>
    <t>MICROBIOLOGIE ET PARASITOLOGIE MEDICALE</t>
  </si>
  <si>
    <t>MPM301</t>
  </si>
  <si>
    <t>MICROBIOLOGIE</t>
  </si>
  <si>
    <t>Dr MC KARAMOKO YAHAYA</t>
  </si>
  <si>
    <t>MPM302</t>
  </si>
  <si>
    <t>PARASITOLOGIE</t>
  </si>
  <si>
    <t>HRE300</t>
  </si>
  <si>
    <t>HORMONE ET REGULATION ENDOCRINE</t>
  </si>
  <si>
    <t>HRE301</t>
  </si>
  <si>
    <t>HORMONES</t>
  </si>
  <si>
    <t>Dr KAMAGATE ADAMA</t>
  </si>
  <si>
    <t>HRE302</t>
  </si>
  <si>
    <t>GLANDES ENDOCRINES</t>
  </si>
  <si>
    <t>HRE303</t>
  </si>
  <si>
    <t>REGULATION ENDOCRINE</t>
  </si>
  <si>
    <t>HDF300</t>
  </si>
  <si>
    <t>HISTOLOGIE HUMAINE DESCRIPTIVE ET FONCTIONNELLE</t>
  </si>
  <si>
    <t>HDF301</t>
  </si>
  <si>
    <t>HISTOLOGIE DES VISCERES</t>
  </si>
  <si>
    <t>Dr MC BLEHERE MATHIEU</t>
  </si>
  <si>
    <t>HDF302</t>
  </si>
  <si>
    <t>HEMATO-IMMUNOLOGIE</t>
  </si>
  <si>
    <t>HDF303</t>
  </si>
  <si>
    <t>HEMOSTASE</t>
  </si>
  <si>
    <t>PHA300</t>
  </si>
  <si>
    <t>PHARMACOLOGIE</t>
  </si>
  <si>
    <t>PHA301</t>
  </si>
  <si>
    <t>PHARMACOLOGIE GENERALE</t>
  </si>
  <si>
    <t>PROF YAPO ANGOUE</t>
  </si>
  <si>
    <t>PHA302</t>
  </si>
  <si>
    <t>PHARMACOLOGIE SPECIALE</t>
  </si>
  <si>
    <t>PTS300</t>
  </si>
  <si>
    <t>PHYTOCHIMIE ET TECHNIQUE DE SEPARATION</t>
  </si>
  <si>
    <t>PTS301</t>
  </si>
  <si>
    <t>PHYTOCHIMIE</t>
  </si>
  <si>
    <t>PTS302</t>
  </si>
  <si>
    <t>TECHNIQUE DE SEPARATION</t>
  </si>
  <si>
    <t>GRP300</t>
  </si>
  <si>
    <t>GESTION DES RESSOURCES PHYTOGENETIQUE</t>
  </si>
  <si>
    <t>GRP301</t>
  </si>
  <si>
    <t>REGENERATION NATURELLE</t>
  </si>
  <si>
    <t>PROF KONE MONGOMAKE</t>
  </si>
  <si>
    <t>GRP302</t>
  </si>
  <si>
    <t>REGENERATION IN VITRO</t>
  </si>
  <si>
    <t>GRP303</t>
  </si>
  <si>
    <t>GESTION RESSOURCES VEGETALES</t>
  </si>
  <si>
    <t>DOMAINE :  SCIENCES AGRONOMIQUES</t>
  </si>
  <si>
    <t xml:space="preserve">SPECIALITE : PRODUCTIONS VEGETALES </t>
  </si>
  <si>
    <t xml:space="preserve">GRADE : MASTER  </t>
  </si>
  <si>
    <t xml:space="preserve"> SEMESTRE n°1</t>
  </si>
  <si>
    <t>CHE400</t>
  </si>
  <si>
    <t>Chimie de l'Environnement</t>
  </si>
  <si>
    <t>CHE401</t>
  </si>
  <si>
    <t>Toxicologie des pesticides</t>
  </si>
  <si>
    <t>Prof. DEMBELE Ardjouma</t>
  </si>
  <si>
    <t>CHE402</t>
  </si>
  <si>
    <t xml:space="preserve">Ecotoxicologie </t>
  </si>
  <si>
    <t>CHE403</t>
  </si>
  <si>
    <t xml:space="preserve">Analyse des résidus </t>
  </si>
  <si>
    <t>PHT400</t>
  </si>
  <si>
    <t>Phytotechnie tropicale</t>
  </si>
  <si>
    <t>PHT401</t>
  </si>
  <si>
    <t>Monographie des grandes cultures</t>
  </si>
  <si>
    <t>Prof. ZORO Bi Arséne</t>
  </si>
  <si>
    <t>PHT402</t>
  </si>
  <si>
    <t>Fondement de l’agriculture et systèmes de production végétale</t>
  </si>
  <si>
    <t>PHT403</t>
  </si>
  <si>
    <t>Amélioration des systèmes de production végétale</t>
  </si>
  <si>
    <t>PTV400</t>
  </si>
  <si>
    <t>Production et technologie végétales</t>
  </si>
  <si>
    <t>PTV401</t>
  </si>
  <si>
    <t>Physiologie des semences et de la germination</t>
  </si>
  <si>
    <t>Prof DOGBO D. Odette</t>
  </si>
  <si>
    <t>PTV402</t>
  </si>
  <si>
    <t xml:space="preserve">Production hors sol des plantes  </t>
  </si>
  <si>
    <t>PTV403</t>
  </si>
  <si>
    <t>Production végétale et agriculture biologique</t>
  </si>
  <si>
    <t>PTP400</t>
  </si>
  <si>
    <t>Phytopathologie</t>
  </si>
  <si>
    <t>PTP401</t>
  </si>
  <si>
    <t xml:space="preserve">Maladies parasitaires </t>
  </si>
  <si>
    <t xml:space="preserve">Prof DIALLO Hortanse </t>
  </si>
  <si>
    <t>PTP402</t>
  </si>
  <si>
    <t xml:space="preserve">Maladies non parasitaires </t>
  </si>
  <si>
    <t>BIS400</t>
  </si>
  <si>
    <t>Biostatistique</t>
  </si>
  <si>
    <t>BIS401</t>
  </si>
  <si>
    <t>Analyse de variables multiples</t>
  </si>
  <si>
    <t>BIS402</t>
  </si>
  <si>
    <t>Méthodes factorielles de réduction de données</t>
  </si>
  <si>
    <t>TAB400</t>
  </si>
  <si>
    <t>Techniques d’analyses biologiques</t>
  </si>
  <si>
    <t>TAB401</t>
  </si>
  <si>
    <t xml:space="preserve">Techniques d’analyses biologiques </t>
  </si>
  <si>
    <t>Prof. KOUAKOU T. Hilaire</t>
  </si>
  <si>
    <t>TAB402</t>
  </si>
  <si>
    <t xml:space="preserve">Techniques d’analyse moléculaire </t>
  </si>
  <si>
    <t>CSC400</t>
  </si>
  <si>
    <t>Communication Scientifique</t>
  </si>
  <si>
    <t>CSC401</t>
  </si>
  <si>
    <t>Rédaction scientifique</t>
  </si>
  <si>
    <t>CSC402</t>
  </si>
  <si>
    <t>Vulgarisation et technique de communication avec les médias</t>
  </si>
  <si>
    <t>TEA400</t>
  </si>
  <si>
    <t>Technique d’expression anglaise</t>
  </si>
  <si>
    <t>TEA</t>
  </si>
  <si>
    <t>Mme ATTOKPA</t>
  </si>
  <si>
    <t>Total Semestre 1</t>
  </si>
  <si>
    <t>GRADE : MASTER 1 / SEMESTRE n°2</t>
  </si>
  <si>
    <t>GPP400</t>
  </si>
  <si>
    <t>Génétique des populations et gestion des ressources phytogénétiques</t>
  </si>
  <si>
    <t>GPP401</t>
  </si>
  <si>
    <t>Espèces et spéciation</t>
  </si>
  <si>
    <t>GPP402</t>
  </si>
  <si>
    <t>Génétique des populations</t>
  </si>
  <si>
    <t>GPP403</t>
  </si>
  <si>
    <t>Gestion des ressources phytogénétiques</t>
  </si>
  <si>
    <t>AGB400</t>
  </si>
  <si>
    <t>Agri-business</t>
  </si>
  <si>
    <t>AGB401</t>
  </si>
  <si>
    <t>Formation en chaîne</t>
  </si>
  <si>
    <t>Prof. KONE Mongomaké</t>
  </si>
  <si>
    <t>AGB402</t>
  </si>
  <si>
    <t>Etude des marchés et markéting</t>
  </si>
  <si>
    <t>AGB403</t>
  </si>
  <si>
    <t>Entreprenariat</t>
  </si>
  <si>
    <t>REV400</t>
  </si>
  <si>
    <t>Régénération des espèces végétales</t>
  </si>
  <si>
    <t>REV401</t>
  </si>
  <si>
    <r>
      <t>Régénération par graines</t>
    </r>
    <r>
      <rPr>
        <sz val="9"/>
        <color rgb="FFFF0000"/>
        <rFont val="Times New Roman"/>
        <family val="1"/>
      </rPr>
      <t xml:space="preserve"> </t>
    </r>
  </si>
  <si>
    <t>REV402</t>
  </si>
  <si>
    <r>
      <t>Régénération par extension végétative</t>
    </r>
    <r>
      <rPr>
        <sz val="9"/>
        <color rgb="FFFF0000"/>
        <rFont val="Times New Roman"/>
        <family val="1"/>
      </rPr>
      <t xml:space="preserve"> </t>
    </r>
  </si>
  <si>
    <t>REV403</t>
  </si>
  <si>
    <r>
      <t xml:space="preserve">Régénération </t>
    </r>
    <r>
      <rPr>
        <i/>
        <sz val="9"/>
        <color theme="1"/>
        <rFont val="Times New Roman"/>
        <family val="1"/>
      </rPr>
      <t>in vitro</t>
    </r>
  </si>
  <si>
    <t>GFS400</t>
  </si>
  <si>
    <t>Gestion de la fertilité des sols</t>
  </si>
  <si>
    <t>GFS401</t>
  </si>
  <si>
    <t>Gestion des jachères et Agroforesterie</t>
  </si>
  <si>
    <t>Dr MC. BOGNOMKPE Jean-Pierre</t>
  </si>
  <si>
    <t>GFS402</t>
  </si>
  <si>
    <t>Aménagement et Irrigation</t>
  </si>
  <si>
    <t>GFS403</t>
  </si>
  <si>
    <t>Engrais verts et association légumineuses/plantes</t>
  </si>
  <si>
    <t>CEP400</t>
  </si>
  <si>
    <t>Conception, suivi et évaluation de projet</t>
  </si>
  <si>
    <t>Prof. TRAORE Karim Sory</t>
  </si>
  <si>
    <t>IME400</t>
  </si>
  <si>
    <t>Immersion en entreprise</t>
  </si>
  <si>
    <t>Mme ATTOPKA</t>
  </si>
  <si>
    <t>Total Semestre 2</t>
  </si>
  <si>
    <t>GRADE : MASTER 2 / SEMESTRE n°3</t>
  </si>
  <si>
    <t>AGP500</t>
  </si>
  <si>
    <t>Amélioration génétique des plantes</t>
  </si>
  <si>
    <t>AGP501</t>
  </si>
  <si>
    <t>Génétique quantitative</t>
  </si>
  <si>
    <t>Prof ZORO Bi Arsene</t>
  </si>
  <si>
    <t>AGP502</t>
  </si>
  <si>
    <t>Sélection variétale</t>
  </si>
  <si>
    <t>AGP503</t>
  </si>
  <si>
    <t>Biotechnologie et amélioration des plantes</t>
  </si>
  <si>
    <t>TPR500</t>
  </si>
  <si>
    <t>Technologie post- récolte</t>
  </si>
  <si>
    <t>TPR501</t>
  </si>
  <si>
    <t xml:space="preserve">Physiologie post- récolte </t>
  </si>
  <si>
    <t>TPR502</t>
  </si>
  <si>
    <t>Pathologie post- récolte</t>
  </si>
  <si>
    <t>TPR503</t>
  </si>
  <si>
    <t>Gestion post- récolte</t>
  </si>
  <si>
    <t>CIV500</t>
  </si>
  <si>
    <t>Culture in vitro et application en agriculture</t>
  </si>
  <si>
    <t>CIV501</t>
  </si>
  <si>
    <t>Production en masse des végétaux</t>
  </si>
  <si>
    <t>Prof KOUAKOU T. Hilaire</t>
  </si>
  <si>
    <t>CIV502</t>
  </si>
  <si>
    <t xml:space="preserve">Amélioration variétale </t>
  </si>
  <si>
    <t>CIV503</t>
  </si>
  <si>
    <t xml:space="preserve">Assainissement des plantes et production de substances naturelles </t>
  </si>
  <si>
    <t>PPV500</t>
  </si>
  <si>
    <t>Physiopathologie végétale</t>
  </si>
  <si>
    <t>PPV501</t>
  </si>
  <si>
    <t>Mode d’attaque des pathogènes</t>
  </si>
  <si>
    <t>PPV502</t>
  </si>
  <si>
    <t xml:space="preserve">Mécanismes de défense des plantes </t>
  </si>
  <si>
    <t>PPV503</t>
  </si>
  <si>
    <t>Effets des pathogènes sur les fonctions physiologiques de la plantes</t>
  </si>
  <si>
    <t>ESA500</t>
  </si>
  <si>
    <t>Ecophysiologie et stratégies d’adaptation</t>
  </si>
  <si>
    <t>ESA501</t>
  </si>
  <si>
    <t xml:space="preserve">Stress abiotique et pathologie végétales de toxicité </t>
  </si>
  <si>
    <t>ESA502</t>
  </si>
  <si>
    <t xml:space="preserve">Pathologies végétales de stress abiotique </t>
  </si>
  <si>
    <t>ESA503</t>
  </si>
  <si>
    <t>Mécanismes adaptatifs des plantes</t>
  </si>
  <si>
    <t>ONM500</t>
  </si>
  <si>
    <t>Compétition et optimisation de la nutrition minérale et hydrique des plantes</t>
  </si>
  <si>
    <t>ONM501</t>
  </si>
  <si>
    <t xml:space="preserve">Allélopathie </t>
  </si>
  <si>
    <t>Dr MC. BOGNOMPKE Jean-Pierre</t>
  </si>
  <si>
    <t>ONM502</t>
  </si>
  <si>
    <t xml:space="preserve">Symbiose mycorhizienne </t>
  </si>
  <si>
    <t>SVT500</t>
  </si>
  <si>
    <t>Séminaires et visites de terrain</t>
  </si>
  <si>
    <t>TEA500</t>
  </si>
  <si>
    <t>Total Semestre 3</t>
  </si>
  <si>
    <t>GRADE : MASTER 2 / SEMESTRE 4</t>
  </si>
  <si>
    <t>SFC500</t>
  </si>
  <si>
    <t>Stage de fin de cycle (Mémoire)</t>
  </si>
  <si>
    <t>Stage en entreprise</t>
  </si>
  <si>
    <t>MENTION : RESSOURCES NATURELLES ET ENVIRONNEMENT</t>
  </si>
  <si>
    <t>SPECIALITE : BIODIVERSITE ET GESTION DURABLE DES ECOSYSTEMES -BioGDE</t>
  </si>
  <si>
    <t xml:space="preserve">GRADE : Master  </t>
  </si>
  <si>
    <t>SEMESTRE n°1</t>
  </si>
  <si>
    <t>EDP400</t>
  </si>
  <si>
    <t xml:space="preserve">Écologie des populations </t>
  </si>
  <si>
    <t>EDP401</t>
  </si>
  <si>
    <t>Évolution moléculaire et génomique des populations </t>
  </si>
  <si>
    <t>Dr MCKonaté Souleymane,</t>
  </si>
  <si>
    <t>EDP402</t>
  </si>
  <si>
    <t xml:space="preserve">Croissance &amp; Traits d’histoire de vie </t>
  </si>
  <si>
    <t>EDP403</t>
  </si>
  <si>
    <t>Dynamique de population </t>
  </si>
  <si>
    <t>SDC400</t>
  </si>
  <si>
    <t>Structure des communautés</t>
  </si>
  <si>
    <t>SDC401</t>
  </si>
  <si>
    <t>SDC402</t>
  </si>
  <si>
    <t>Interactions spécifiques </t>
  </si>
  <si>
    <t>SDC403</t>
  </si>
  <si>
    <t>Perturbations écologiques </t>
  </si>
  <si>
    <t>BEF400</t>
  </si>
  <si>
    <t>Biodiversité et écologie fonctionnelle</t>
  </si>
  <si>
    <t>BEF401</t>
  </si>
  <si>
    <t>Fonctionnement d’un écosystème tropical</t>
  </si>
  <si>
    <t>Dr MC Tondoh E Jerome</t>
  </si>
  <si>
    <t>BEF402</t>
  </si>
  <si>
    <t>Services écosystémiques </t>
  </si>
  <si>
    <t>TAX400</t>
  </si>
  <si>
    <t>Taxonomie du vivant</t>
  </si>
  <si>
    <t>TAX401</t>
  </si>
  <si>
    <t>Méthodes de classification &amp; Taxonomie animale</t>
  </si>
  <si>
    <t>TAX402</t>
  </si>
  <si>
    <t xml:space="preserve">Méthodes de classification &amp; Taxonomie végétale  </t>
  </si>
  <si>
    <t>TAX403</t>
  </si>
  <si>
    <t xml:space="preserve"> Méthodes de classification &amp; Taxonomie des microorganismes</t>
  </si>
  <si>
    <t>ROS400</t>
  </si>
  <si>
    <t>Réponses des organismes aux stress environnementaux</t>
  </si>
  <si>
    <t>ROS401</t>
  </si>
  <si>
    <t>Réponses des végétaux aux stress environnementaux</t>
  </si>
  <si>
    <t>Prof. Dogbo</t>
  </si>
  <si>
    <t>ROS402</t>
  </si>
  <si>
    <t>Réponses des animaux aux stress environnementaux</t>
  </si>
  <si>
    <t>ROS403</t>
  </si>
  <si>
    <t>Réponses des microorganismes aux stress environnementaux</t>
  </si>
  <si>
    <t>TSD400</t>
  </si>
  <si>
    <t>Traitement statistique des données</t>
  </si>
  <si>
    <t>TSD401</t>
  </si>
  <si>
    <t>TES400</t>
  </si>
  <si>
    <t>Télédétection et SIG</t>
  </si>
  <si>
    <t>TES401</t>
  </si>
  <si>
    <t>Bases théoriques sur les traitements d’images de télédétection</t>
  </si>
  <si>
    <t>TES402</t>
  </si>
  <si>
    <t>Initiation aux SIG </t>
  </si>
  <si>
    <t>Mr Kouassi Marcel</t>
  </si>
  <si>
    <t>Communication scientifique</t>
  </si>
  <si>
    <t>Dr Dosso Kanvaly, MA</t>
  </si>
  <si>
    <t>SEMESTRE n°2</t>
  </si>
  <si>
    <t>ADP400</t>
  </si>
  <si>
    <t>Analyse démographique des populations</t>
  </si>
  <si>
    <t>ADP401</t>
  </si>
  <si>
    <t>Modèle démographique matriciel ; Modèle de Lotka Volterra</t>
  </si>
  <si>
    <t>Dr MC Konaté Souleymane</t>
  </si>
  <si>
    <t>ADP402</t>
  </si>
  <si>
    <t>Modèles bayésien et hiérarchique</t>
  </si>
  <si>
    <t>PSG400</t>
  </si>
  <si>
    <t>Phytosociologie et phytogéographie</t>
  </si>
  <si>
    <t>PSG401</t>
  </si>
  <si>
    <t>Phytosociologie</t>
  </si>
  <si>
    <t>Dr MC Tra Bi F</t>
  </si>
  <si>
    <t>PSG402</t>
  </si>
  <si>
    <t>Phytogéographie</t>
  </si>
  <si>
    <t>TOX400</t>
  </si>
  <si>
    <t>Écotoxicologie</t>
  </si>
  <si>
    <t>TOX401</t>
  </si>
  <si>
    <t>Toxicologie des pesticides et méthode de lutte intégrée</t>
  </si>
  <si>
    <t>Dr Etchian A. Olivier, MA</t>
  </si>
  <si>
    <t>TOX402</t>
  </si>
  <si>
    <t>Toxicologie des métaux lourds et autres composés chimiques</t>
  </si>
  <si>
    <t>ECQ400</t>
  </si>
  <si>
    <t>Écologie quantitative</t>
  </si>
  <si>
    <t>ECQ401</t>
  </si>
  <si>
    <t>Processus stochastique de mort et de naissance ; modélisation des incertitudes</t>
  </si>
  <si>
    <t>ECQ402</t>
  </si>
  <si>
    <t>Application de l’écologie quantitative</t>
  </si>
  <si>
    <t>SIM400</t>
  </si>
  <si>
    <t>Dr Yéo Kolo, MC</t>
  </si>
  <si>
    <t>PPE400</t>
  </si>
  <si>
    <t>Outil d’insertion professionnelle</t>
  </si>
  <si>
    <t>PPE401</t>
  </si>
  <si>
    <t>Rédaction de CV et simulation d’entretien de stages et d’embauche</t>
  </si>
  <si>
    <t>PPE402</t>
  </si>
  <si>
    <t>Techniques de recherche d’offres de stage ou d’emploi</t>
  </si>
  <si>
    <t>SEMESTRE n°3</t>
  </si>
  <si>
    <t>GDB500</t>
  </si>
  <si>
    <t>Gestion de la biodiversité</t>
  </si>
  <si>
    <t>GDB501</t>
  </si>
  <si>
    <t>Protection de la biodiversité</t>
  </si>
  <si>
    <t>GDB502</t>
  </si>
  <si>
    <t>Biologie de la conservation : métapopulation et viabilité des populations</t>
  </si>
  <si>
    <t>GDE500</t>
  </si>
  <si>
    <t>Gestion durable des écosystèmes</t>
  </si>
  <si>
    <t>GDE501</t>
  </si>
  <si>
    <t>Intensification écologique</t>
  </si>
  <si>
    <t>GDE502</t>
  </si>
  <si>
    <t>Paysages dégradés et stratégie de réhabilitation</t>
  </si>
  <si>
    <t>GDE503</t>
  </si>
  <si>
    <t>Gaz à effet de serre et réchauffement climatique : impacts sur l’environnement</t>
  </si>
  <si>
    <t>APT500</t>
  </si>
  <si>
    <t>Aménagement des paysages urbains</t>
  </si>
  <si>
    <t>APT501</t>
  </si>
  <si>
    <t>Capitaine Brice Néhoun</t>
  </si>
  <si>
    <t>APT502</t>
  </si>
  <si>
    <t>Aménagement des parcs et réserves naturelles</t>
  </si>
  <si>
    <t>APT503</t>
  </si>
  <si>
    <t>Aménagement des forêts</t>
  </si>
  <si>
    <t>ERB500</t>
  </si>
  <si>
    <t xml:space="preserve">Économie, règlementation de la biodiversité </t>
  </si>
  <si>
    <t>ERB501</t>
  </si>
  <si>
    <t>Économie de la biodiversité</t>
  </si>
  <si>
    <t>Dr MC Malan Djaha F</t>
  </si>
  <si>
    <t>ERB502</t>
  </si>
  <si>
    <t>Législation nationale et internationale de la protection de la biodiversité</t>
  </si>
  <si>
    <t>EIE500</t>
  </si>
  <si>
    <t>Étude d’impact environnemental</t>
  </si>
  <si>
    <t>EIE501</t>
  </si>
  <si>
    <t>Impact environnemental et orientations stratégiques</t>
  </si>
  <si>
    <t>EIE502</t>
  </si>
  <si>
    <t>Gestion des impacts</t>
  </si>
  <si>
    <t>SFA500</t>
  </si>
  <si>
    <t>Structure et fonctionnement des milieux aquatiques</t>
  </si>
  <si>
    <t>SFA501</t>
  </si>
  <si>
    <t>Structure et diversité biologique des écosystèmes aquatiques</t>
  </si>
  <si>
    <t>Prof. Allassane Ouattara</t>
  </si>
  <si>
    <t>SFA502</t>
  </si>
  <si>
    <t>Fonctionnement des milieux aquatiques</t>
  </si>
  <si>
    <t>SFA503</t>
  </si>
  <si>
    <t>Options de gestion durable des milieux aquatiques et applications</t>
  </si>
  <si>
    <t>SEMESTRE n°4</t>
  </si>
  <si>
    <t xml:space="preserve"> 
Stage de fin de cycle
(Mémoire) 
</t>
  </si>
  <si>
    <t>Total Semestre 4</t>
  </si>
  <si>
    <t>GRADE : MASTER</t>
  </si>
  <si>
    <t>SEMESTRE n° 1</t>
  </si>
  <si>
    <t>CDE400</t>
  </si>
  <si>
    <t>Chimie de l’environnement</t>
  </si>
  <si>
    <t>CDE401</t>
  </si>
  <si>
    <t>Toxicologie et Ecotoxicologie des produits chimiques</t>
  </si>
  <si>
    <t>Pr Dembélé Ardjouma</t>
  </si>
  <si>
    <t>CDE402</t>
  </si>
  <si>
    <t>PAV400</t>
  </si>
  <si>
    <t>Pathologie végétale</t>
  </si>
  <si>
    <t>PAV401</t>
  </si>
  <si>
    <t>Maladies parasitaires des végétaux</t>
  </si>
  <si>
    <t>Pr Diallo Atta Hortense</t>
  </si>
  <si>
    <t>PAV402</t>
  </si>
  <si>
    <t>Maladies non parasitaires des végétaux</t>
  </si>
  <si>
    <t>ENA400</t>
  </si>
  <si>
    <t>Entomologie agricole</t>
  </si>
  <si>
    <t>ENA401</t>
  </si>
  <si>
    <t xml:space="preserve">Biologie et écologie des insectes ravageurs des cultures </t>
  </si>
  <si>
    <t>Dr MC Doumbia Mamadou</t>
  </si>
  <si>
    <t>ENA402</t>
  </si>
  <si>
    <t>Biologie et écologie des ravageurs des denrées stockées</t>
  </si>
  <si>
    <t>ENA403</t>
  </si>
  <si>
    <t>Biologie et écologie des insectes ennemis naturels</t>
  </si>
  <si>
    <t>BST400</t>
  </si>
  <si>
    <t>BST401</t>
  </si>
  <si>
    <t>Dr Koné Armand</t>
  </si>
  <si>
    <t>BST402</t>
  </si>
  <si>
    <t>COS400</t>
  </si>
  <si>
    <t>COS401</t>
  </si>
  <si>
    <t xml:space="preserve">Rédaction scientifique </t>
  </si>
  <si>
    <t xml:space="preserve">Dr Séka Koutoua / Dr Koné N'Golo </t>
  </si>
  <si>
    <t>COS402</t>
  </si>
  <si>
    <t>Mme Atopka</t>
  </si>
  <si>
    <t>DER400</t>
  </si>
  <si>
    <t>Droit foncier et Economie rurale</t>
  </si>
  <si>
    <t>DER401</t>
  </si>
  <si>
    <t>Droit foncier</t>
  </si>
  <si>
    <t>Dr El Hadj</t>
  </si>
  <si>
    <t>DER402</t>
  </si>
  <si>
    <t>BIF400</t>
  </si>
  <si>
    <t xml:space="preserve">Bioinformatique </t>
  </si>
  <si>
    <t>BIF100</t>
  </si>
  <si>
    <t>Dr Seka Koutoua</t>
  </si>
  <si>
    <t>SEMESTRE n° 2</t>
  </si>
  <si>
    <t>DMM400</t>
  </si>
  <si>
    <t>Diagnostic et méthodes de lutte contre les maladies des plantes</t>
  </si>
  <si>
    <t>DMM401</t>
  </si>
  <si>
    <t>Méthodes de diagnostic en pathologie végétale</t>
  </si>
  <si>
    <t>DMM402</t>
  </si>
  <si>
    <t>Lutte contre les maladies virales et fongiques</t>
  </si>
  <si>
    <t>DMM403</t>
  </si>
  <si>
    <t>Lutte contre les maladies bactériennes et les nématodes</t>
  </si>
  <si>
    <t>RTA400</t>
  </si>
  <si>
    <t>Biopesticides : Recherche et techniques d’analyse</t>
  </si>
  <si>
    <t>RTA401</t>
  </si>
  <si>
    <t>Biopesticides : substances naturelles et microorganismes</t>
  </si>
  <si>
    <t>RTA402</t>
  </si>
  <si>
    <t>Technique d’analyse biochimique et moléculaire</t>
  </si>
  <si>
    <t>GAC400</t>
  </si>
  <si>
    <t>Gestion des adventices des cultures</t>
  </si>
  <si>
    <t>GAC401</t>
  </si>
  <si>
    <t>Adventices des cultures vivrières et maraichères</t>
  </si>
  <si>
    <t>Dr Mangara Ali</t>
  </si>
  <si>
    <t>GAC402</t>
  </si>
  <si>
    <t>Adventices des cultures industrielles</t>
  </si>
  <si>
    <t>Législation et normes nationales et internationales sur la commercialisation des produits agricoles</t>
  </si>
  <si>
    <t>Dr Kouamé Lucien / Dr Sraka</t>
  </si>
  <si>
    <t>Chaîne des valeurs, étude des marchés et markéting</t>
  </si>
  <si>
    <t>Entreprenariat agricole</t>
  </si>
  <si>
    <t>SEP400</t>
  </si>
  <si>
    <t>Suivi et évaluation de projets agricoles</t>
  </si>
  <si>
    <t>Dr Kwadjo Koffi Eric</t>
  </si>
  <si>
    <t>SEMESTRE n° 3</t>
  </si>
  <si>
    <t>PHV500</t>
  </si>
  <si>
    <t xml:space="preserve">Physiopathologie végétale </t>
  </si>
  <si>
    <t>PHV501</t>
  </si>
  <si>
    <t>PHV502</t>
  </si>
  <si>
    <t>Mécanismes de défense des plantes</t>
  </si>
  <si>
    <t>PHV503</t>
  </si>
  <si>
    <t>Effets des pathogènes sur les fonctions physiologiques de la plante</t>
  </si>
  <si>
    <t>PCD500</t>
  </si>
  <si>
    <t>Protection et conservation des denrées stockées</t>
  </si>
  <si>
    <t>PCD501</t>
  </si>
  <si>
    <t>Lutte contre les ravageurs des denrées stockées et des nuisibles domestiques</t>
  </si>
  <si>
    <t>PCD502</t>
  </si>
  <si>
    <t>Lutte contre les bactéries et champignons</t>
  </si>
  <si>
    <t>PCD503</t>
  </si>
  <si>
    <t>Techniques de conservation</t>
  </si>
  <si>
    <t>MLI500</t>
  </si>
  <si>
    <t>Méthodes de lutte intégrées</t>
  </si>
  <si>
    <t>MLI501</t>
  </si>
  <si>
    <t>Méthode de lutte contre les nuisibles des cultures</t>
  </si>
  <si>
    <t>MLI502</t>
  </si>
  <si>
    <t xml:space="preserve">Techniques de lutte intégrée  </t>
  </si>
  <si>
    <t>NEF500</t>
  </si>
  <si>
    <t>Nuisibles des essences forestières</t>
  </si>
  <si>
    <t>NEF501</t>
  </si>
  <si>
    <t>Phytopathologie forestière</t>
  </si>
  <si>
    <t>Dr MC  Doumbia Mamadou</t>
  </si>
  <si>
    <t>NEF502</t>
  </si>
  <si>
    <t>Entomologie forestière</t>
  </si>
  <si>
    <t>SST500</t>
  </si>
  <si>
    <t xml:space="preserve">Séminaire et sortie de terrain </t>
  </si>
  <si>
    <t>LNC500</t>
  </si>
  <si>
    <t>Lois, normes et conventions en matière de protection des végétaux</t>
  </si>
  <si>
    <t>LNC501</t>
  </si>
  <si>
    <t>Cadre juridique nationale en protection des végétaux</t>
  </si>
  <si>
    <t>Dr Kouamé Lucien</t>
  </si>
  <si>
    <t>LNC502</t>
  </si>
  <si>
    <t>Normes et conventions internationales en protection des végétaux</t>
  </si>
  <si>
    <t>ACT500</t>
  </si>
  <si>
    <t>Anglais de composition thématique</t>
  </si>
  <si>
    <t>Mme Atokpa</t>
  </si>
  <si>
    <t>SEMESTRE n° 4</t>
  </si>
  <si>
    <t>STA500</t>
  </si>
  <si>
    <t>SPECIALITE :  PRODUCTIONS ANIMALES</t>
  </si>
  <si>
    <t>IMU400</t>
  </si>
  <si>
    <t xml:space="preserve"> Immunologie</t>
  </si>
  <si>
    <t>IMU401</t>
  </si>
  <si>
    <t>Système immunitaire</t>
  </si>
  <si>
    <t>Dr MC KARAMOKO Yahaya</t>
  </si>
  <si>
    <t>IMU402</t>
  </si>
  <si>
    <t>Immunopathologie et vaccinologie</t>
  </si>
  <si>
    <t>CYN400</t>
  </si>
  <si>
    <t>Cynégétique</t>
  </si>
  <si>
    <t>CYN401</t>
  </si>
  <si>
    <t>Présentation de la Faune</t>
  </si>
  <si>
    <t>Dr MC SORO Dofara</t>
  </si>
  <si>
    <t>CYN402</t>
  </si>
  <si>
    <t>Relation Habitat/Effectif/Espèce</t>
  </si>
  <si>
    <t>CYN403</t>
  </si>
  <si>
    <t>Principe d'Etablissement et Gestion des Aires Protégés</t>
  </si>
  <si>
    <t>BBR400</t>
  </si>
  <si>
    <t>Biologie et Biotechnologie de la Reproduction</t>
  </si>
  <si>
    <t>BBRE401</t>
  </si>
  <si>
    <t>Biologie de la reproduction</t>
  </si>
  <si>
    <t>Pr NDA Konan</t>
  </si>
  <si>
    <t>BBRE402</t>
  </si>
  <si>
    <t>Biotechnologie de la reproduction</t>
  </si>
  <si>
    <t>EBE400</t>
  </si>
  <si>
    <t>Ethique et Bien-être</t>
  </si>
  <si>
    <t>EBE401</t>
  </si>
  <si>
    <t>Ethique</t>
  </si>
  <si>
    <t>Dr KIMSE Moussa</t>
  </si>
  <si>
    <t>EBE402</t>
  </si>
  <si>
    <t>Bien-être</t>
  </si>
  <si>
    <t>HSS400</t>
  </si>
  <si>
    <t>Hygiène et sécurité sanitaire dans les filières de production animale</t>
  </si>
  <si>
    <t>HSS401</t>
  </si>
  <si>
    <t>Hygiène et qualité dans les FDA</t>
  </si>
  <si>
    <t>Dr DJENY Deni</t>
  </si>
  <si>
    <t>HSS402</t>
  </si>
  <si>
    <t>Sécurité sanitaire des aliments</t>
  </si>
  <si>
    <t>EGP400</t>
  </si>
  <si>
    <t>Economie et gestion des projets</t>
  </si>
  <si>
    <t>EGP401</t>
  </si>
  <si>
    <t>Dr TRAORE ElHadj</t>
  </si>
  <si>
    <t>EGP402</t>
  </si>
  <si>
    <t>Gestion et évaluation des projets</t>
  </si>
  <si>
    <t>GGE400</t>
  </si>
  <si>
    <t>Génie génétique</t>
  </si>
  <si>
    <t>GGE401</t>
  </si>
  <si>
    <t>Outils du génie génétique</t>
  </si>
  <si>
    <t>Pr GOURENE Beeatrice</t>
  </si>
  <si>
    <t>GGE402</t>
  </si>
  <si>
    <t>Applications du génie génétique</t>
  </si>
  <si>
    <t>Mr GBEADA</t>
  </si>
  <si>
    <t>OPTION: PRODUCTIONS ANIMALES</t>
  </si>
  <si>
    <t>GRADE : MASTER/ SEMESTRE n°2</t>
  </si>
  <si>
    <t>PAN400</t>
  </si>
  <si>
    <t>Physiologie animale</t>
  </si>
  <si>
    <t>PAN401</t>
  </si>
  <si>
    <t>Physiologie des grandes fonctions</t>
  </si>
  <si>
    <t>Dr MC KOUAKOU Leandre</t>
  </si>
  <si>
    <t>PAN402</t>
  </si>
  <si>
    <t>Physiologie des poissons</t>
  </si>
  <si>
    <t>HRE400</t>
  </si>
  <si>
    <t>Hormones et régulation</t>
  </si>
  <si>
    <t>Dr KAMAGATE Adama</t>
  </si>
  <si>
    <t>NAT400</t>
  </si>
  <si>
    <t>Nutrition, alimentation animales et toxicologie</t>
  </si>
  <si>
    <t>NAT401</t>
  </si>
  <si>
    <t>Nutrition et alimentation des monogastriques</t>
  </si>
  <si>
    <t>NAT402</t>
  </si>
  <si>
    <t>Nutrition et alimentation des polygastriques</t>
  </si>
  <si>
    <t>NAT403</t>
  </si>
  <si>
    <t>Toxicologie vétérinaire</t>
  </si>
  <si>
    <t>PVL400</t>
  </si>
  <si>
    <t>Production laitière et de viande</t>
  </si>
  <si>
    <t>PVL401</t>
  </si>
  <si>
    <t>Production laitière</t>
  </si>
  <si>
    <t>Dr KOMARA Moussa</t>
  </si>
  <si>
    <t>PVL402</t>
  </si>
  <si>
    <t>Production de viande</t>
  </si>
  <si>
    <t>SEL400</t>
  </si>
  <si>
    <t>Stage en entreprise ou au laboratoire</t>
  </si>
  <si>
    <t>AVM400</t>
  </si>
  <si>
    <t>Dr KOUASSI Ignace</t>
  </si>
  <si>
    <t>MRD400</t>
  </si>
  <si>
    <t>Dr KOFFI Kevin</t>
  </si>
  <si>
    <t>GRADE : MASTER/ SEMESTRE n°3</t>
  </si>
  <si>
    <t>PEP 500</t>
  </si>
  <si>
    <t xml:space="preserve">Pathogènes épizootiques </t>
  </si>
  <si>
    <t>BPE 501</t>
  </si>
  <si>
    <t xml:space="preserve">Biologie des pathogènes épizootiques </t>
  </si>
  <si>
    <t>Dr KADICHAR Katlombo</t>
  </si>
  <si>
    <t>TEP 502</t>
  </si>
  <si>
    <t>Technique d’analyse et épidémiologie moléculaire des pathogènes</t>
  </si>
  <si>
    <t>EPI 503</t>
  </si>
  <si>
    <t>Epidémiologie</t>
  </si>
  <si>
    <t>DFR 500</t>
  </si>
  <si>
    <t>Droit Foncier Rural</t>
  </si>
  <si>
    <t>DFR 501</t>
  </si>
  <si>
    <t>Dr MC TIHO Seydu</t>
  </si>
  <si>
    <t>HQD 500</t>
  </si>
  <si>
    <t>Hygiène et qualité des denrées alimentaires d’origine animale et halieutique</t>
  </si>
  <si>
    <t>EQC 501</t>
  </si>
  <si>
    <t>Evaluation de la qualité des produits carnés et halieutiques</t>
  </si>
  <si>
    <t>Pr TANO Kablan</t>
  </si>
  <si>
    <t>EQL 502</t>
  </si>
  <si>
    <t>Evaluation de la qualité des produits laitiers</t>
  </si>
  <si>
    <t>TPR 500</t>
  </si>
  <si>
    <t xml:space="preserve">Transformation des produits carnés, laitiers et halieutiques </t>
  </si>
  <si>
    <t>TPC 501</t>
  </si>
  <si>
    <t>Transformation des produits carnés</t>
  </si>
  <si>
    <t>TPL 502</t>
  </si>
  <si>
    <t>Transformation des produits laitiers</t>
  </si>
  <si>
    <t>TPH 503</t>
  </si>
  <si>
    <t>Transformation des produits halieutiques</t>
  </si>
  <si>
    <t>VPM 500</t>
  </si>
  <si>
    <t>Valorisation des plantes médicinales en pharmacopée traditionnelle vétérinaires</t>
  </si>
  <si>
    <t>VPM 501</t>
  </si>
  <si>
    <t>Dr KARAMOKO Mamadou</t>
  </si>
  <si>
    <t>FAH 500</t>
  </si>
  <si>
    <t xml:space="preserve">Filières des Ressources Animales et Halieutiques </t>
  </si>
  <si>
    <t>PFR 501</t>
  </si>
  <si>
    <t>Principales Filières des RAH en Côte d’Ivoire</t>
  </si>
  <si>
    <t>Dr KALLO</t>
  </si>
  <si>
    <t>CCO 502</t>
  </si>
  <si>
    <t>Circuits de commercialisation</t>
  </si>
  <si>
    <t>MAR 503</t>
  </si>
  <si>
    <t>Marketing</t>
  </si>
  <si>
    <t>ECG 500</t>
  </si>
  <si>
    <t xml:space="preserve">Entreprenariat et Conseil de gestion </t>
  </si>
  <si>
    <t>ENT 501</t>
  </si>
  <si>
    <t>Dr MC KARAMOKO Yaha</t>
  </si>
  <si>
    <t>CGE 502</t>
  </si>
  <si>
    <t xml:space="preserve">Conseil de gestion </t>
  </si>
  <si>
    <t>TEA 500</t>
  </si>
  <si>
    <t>TEA 501</t>
  </si>
  <si>
    <t>Total Semestre3</t>
  </si>
  <si>
    <t>GRADE : MASTER/ SEMESTRE n°4</t>
  </si>
  <si>
    <t>SEN 500</t>
  </si>
  <si>
    <t>SEN 501</t>
  </si>
  <si>
    <t>Dr MC TIHO Seydou</t>
  </si>
  <si>
    <t>OPTION PROFESSIONNELLE: AVICULTURE</t>
  </si>
  <si>
    <t>GRADE : MASTER PRO/ SEMESTRE n°2</t>
  </si>
  <si>
    <t>APV400</t>
  </si>
  <si>
    <t xml:space="preserve">Anatomie et Physiologie des volailles </t>
  </si>
  <si>
    <t>AVO401</t>
  </si>
  <si>
    <t>Anatomie des volailles</t>
  </si>
  <si>
    <t>Pr BAKOU N, Serge</t>
  </si>
  <si>
    <t>PVO402</t>
  </si>
  <si>
    <t>Physiologie des volailles</t>
  </si>
  <si>
    <t>Nutrition, Alimentation des Volailles et Toxicologie</t>
  </si>
  <si>
    <t>NAV401</t>
  </si>
  <si>
    <t>Nutrition et alimentation des volailles</t>
  </si>
  <si>
    <t>Dr KIMSE Moussa   et Dr TRAORE Beh</t>
  </si>
  <si>
    <t>FRV402</t>
  </si>
  <si>
    <t>Formulation des rations de volaille</t>
  </si>
  <si>
    <t>TAV403</t>
  </si>
  <si>
    <t>Toxicologie des aliments de volaille</t>
  </si>
  <si>
    <t>PAVL400</t>
  </si>
  <si>
    <t xml:space="preserve">Pathologies Aviaires </t>
  </si>
  <si>
    <t>MAV401</t>
  </si>
  <si>
    <t>Maladies aviaires</t>
  </si>
  <si>
    <t>DPM402</t>
  </si>
  <si>
    <t xml:space="preserve">Diagnostic et prévention des 
maladies aviaires
</t>
  </si>
  <si>
    <t>CVC400</t>
  </si>
  <si>
    <t>Conduite de l’élevage de Volailles de chair</t>
  </si>
  <si>
    <t>Techniques d’élevage de volailles de chair</t>
  </si>
  <si>
    <t>Dr ESSO Franck</t>
  </si>
  <si>
    <t>CVP400</t>
  </si>
  <si>
    <t>Conduite de l’élevage de volailles de ponte</t>
  </si>
  <si>
    <t>Techniques d’élevage de volailles de ponte</t>
  </si>
  <si>
    <t>ESA400</t>
  </si>
  <si>
    <t>Environnement du Secteur Avicole</t>
  </si>
  <si>
    <t>Réglementation, organisation, foncier rural, etc.</t>
  </si>
  <si>
    <t>IEA400</t>
  </si>
  <si>
    <t>Infrastructures et Equipements Avicoles</t>
  </si>
  <si>
    <t>IAV401</t>
  </si>
  <si>
    <t>Infrastructures Avicoles</t>
  </si>
  <si>
    <t>Dr TUE BI François</t>
  </si>
  <si>
    <t>EAV402</t>
  </si>
  <si>
    <t xml:space="preserve">
Equipements Avicoles
</t>
  </si>
  <si>
    <t>GRADE : MASTER PRO/ SEMESTRE n°3</t>
  </si>
  <si>
    <t>TPA 500</t>
  </si>
  <si>
    <t>Techniques de production des aliments composés</t>
  </si>
  <si>
    <t>FAC 501</t>
  </si>
  <si>
    <t xml:space="preserve">Formulation des aliments composés </t>
  </si>
  <si>
    <t>TFA 502</t>
  </si>
  <si>
    <t>Techniques de fabrication des aliments composés</t>
  </si>
  <si>
    <t>CMV 503</t>
  </si>
  <si>
    <t>Formulation et fabrication des CMV</t>
  </si>
  <si>
    <t>PDA 500</t>
  </si>
  <si>
    <t>Pathologies dominantes aviaires</t>
  </si>
  <si>
    <t>PRP 501</t>
  </si>
  <si>
    <t>Pathologies des reproducteurs et pondeuses</t>
  </si>
  <si>
    <t>PVC 502</t>
  </si>
  <si>
    <t>Pathologies des volailles de chair</t>
  </si>
  <si>
    <t xml:space="preserve">Qualité et commercialisation des produits avicoles </t>
  </si>
  <si>
    <t>QPA 501</t>
  </si>
  <si>
    <t>Qualité des produits avicoles</t>
  </si>
  <si>
    <t>Pr TANO Kablan et Dr KALLO</t>
  </si>
  <si>
    <t>ERC 500</t>
  </si>
  <si>
    <t>Techniques d’élevage des reproducteurs «chair»</t>
  </si>
  <si>
    <t>ERC 501</t>
  </si>
  <si>
    <t>Conduite de l’élevage des reproducteurs «chair»</t>
  </si>
  <si>
    <t>Dr N'DRI Aya Lydie</t>
  </si>
  <si>
    <t>RIO 500</t>
  </si>
  <si>
    <t>Reproduction, incubation et production des œufs de consommation</t>
  </si>
  <si>
    <t>POC 501</t>
  </si>
  <si>
    <t>Techniques de production des œufs à couver</t>
  </si>
  <si>
    <t>INC 502</t>
  </si>
  <si>
    <t>Incubation</t>
  </si>
  <si>
    <t>OCO 503</t>
  </si>
  <si>
    <t>Techniques de production des œufs de consommation</t>
  </si>
  <si>
    <t>GSA 500</t>
  </si>
  <si>
    <t>Gestion et suivi d’une exploitation avicole</t>
  </si>
  <si>
    <t>GEA 501</t>
  </si>
  <si>
    <t>Gestion d’une exploitation  avicole</t>
  </si>
  <si>
    <t>SEA 502</t>
  </si>
  <si>
    <t xml:space="preserve">Suivi d’une exploitation avicole </t>
  </si>
  <si>
    <t>GRADE : MASTER PRO/ SEMESTRE n°4</t>
  </si>
  <si>
    <t>SPECIALITE : GENETIQUE ET AMELIORATION DES Bioressources</t>
  </si>
  <si>
    <t>UE DE SPÉCIALITÉS</t>
  </si>
  <si>
    <t>BIP400</t>
  </si>
  <si>
    <t>Biologie des Populations</t>
  </si>
  <si>
    <t>BIP401</t>
  </si>
  <si>
    <t>Dr MC  SIE RAOUL</t>
  </si>
  <si>
    <t>BIP402</t>
  </si>
  <si>
    <t>Evolution et sélection naturelle</t>
  </si>
  <si>
    <t>BIP403</t>
  </si>
  <si>
    <t>Biogéographie et dynamique des populations</t>
  </si>
  <si>
    <t>UE DE METHODOLOGIE</t>
  </si>
  <si>
    <t>ICP400</t>
  </si>
  <si>
    <t>Immersion en Milieu Réel et Construction de Projet</t>
  </si>
  <si>
    <t>ICP401</t>
  </si>
  <si>
    <t>Conception et rédaction de projet professionnel</t>
  </si>
  <si>
    <t>Dr BONY Beké Sévérin</t>
  </si>
  <si>
    <t>ICP402</t>
  </si>
  <si>
    <t>Immersion en milieu réel</t>
  </si>
  <si>
    <t>Technique d’Expression Anglaise</t>
  </si>
  <si>
    <t>Prof ZORO Bi Irié Arsène</t>
  </si>
  <si>
    <t>Bio-Informatique</t>
  </si>
  <si>
    <t>BIF401</t>
  </si>
  <si>
    <t>Modélisation des phénomènes biologiques</t>
  </si>
  <si>
    <t>Dr SEKA Dagou</t>
  </si>
  <si>
    <t>BIF402</t>
  </si>
  <si>
    <t>Système d’Information Géographique</t>
  </si>
  <si>
    <t>BIF403</t>
  </si>
  <si>
    <t>Bioinformatique appliquée à la génomique</t>
  </si>
  <si>
    <t>UE DE CULTURE GENERALE</t>
  </si>
  <si>
    <t>ADD400</t>
  </si>
  <si>
    <t>Agriculture et Développement Durable</t>
  </si>
  <si>
    <t>ADD401</t>
  </si>
  <si>
    <t>Systèmes de culture</t>
  </si>
  <si>
    <t>ADD402</t>
  </si>
  <si>
    <t>Agrobiodiversité</t>
  </si>
  <si>
    <t>EDG400</t>
  </si>
  <si>
    <t>Ethique, Déontologie et Gouvernance</t>
  </si>
  <si>
    <t>EDG401</t>
  </si>
  <si>
    <t>Ethique et déontologie</t>
  </si>
  <si>
    <t>Prof ADEPO Gourene A. Beatrice</t>
  </si>
  <si>
    <t>EDG402</t>
  </si>
  <si>
    <t>Gouvernance</t>
  </si>
  <si>
    <t>TOTAL SEMESTRE 1</t>
  </si>
  <si>
    <t>Masse Horaire Semestrielle</t>
  </si>
  <si>
    <t>Crédits</t>
  </si>
  <si>
    <t>Unité d’Enseignement</t>
  </si>
  <si>
    <t>Projet</t>
  </si>
  <si>
    <t>Total HE</t>
  </si>
  <si>
    <t>CCT</t>
  </si>
  <si>
    <t>SYS400</t>
  </si>
  <si>
    <t>Systèmes Semenciers</t>
  </si>
  <si>
    <t>SYS401</t>
  </si>
  <si>
    <t>Physiologie des semences</t>
  </si>
  <si>
    <t>Dr BONY Beké Severin</t>
  </si>
  <si>
    <t>SYS402</t>
  </si>
  <si>
    <t>Production et conservation de semences</t>
  </si>
  <si>
    <t>SYS403</t>
  </si>
  <si>
    <t>Législation en matière de production et distribution des semences</t>
  </si>
  <si>
    <t>MGU400</t>
  </si>
  <si>
    <t>Marqueurs Génétiques et Utilisations</t>
  </si>
  <si>
    <t>MGU401</t>
  </si>
  <si>
    <t>Développement des marqueurs génétiques</t>
  </si>
  <si>
    <t>Prof ADEPO GOURENE A. BEATRICE</t>
  </si>
  <si>
    <t>MGU402</t>
  </si>
  <si>
    <t>Utilisations des marqueurs génétiques</t>
  </si>
  <si>
    <t>GRG400</t>
  </si>
  <si>
    <t>Gestion des Ressources Génétiques</t>
  </si>
  <si>
    <t>GRG401</t>
  </si>
  <si>
    <t>Prospection et collecte des ressources génétiques</t>
  </si>
  <si>
    <t>Dr KOUONON LEONIE CLEMENCE</t>
  </si>
  <si>
    <t>GRG402</t>
  </si>
  <si>
    <t>Banques de gènes</t>
  </si>
  <si>
    <t>GRG403</t>
  </si>
  <si>
    <t xml:space="preserve">Régénération et conservation des ressources génétiques </t>
  </si>
  <si>
    <t>GEN400</t>
  </si>
  <si>
    <t>Génomique</t>
  </si>
  <si>
    <t>GEN401</t>
  </si>
  <si>
    <t>Cytogénétique</t>
  </si>
  <si>
    <t>Prof Zoro Bi Irié Arséne</t>
  </si>
  <si>
    <t>GEN402</t>
  </si>
  <si>
    <t>Génomique expressive</t>
  </si>
  <si>
    <t>GEN403</t>
  </si>
  <si>
    <t>Génomique fonctionnelle</t>
  </si>
  <si>
    <t>RGE400</t>
  </si>
  <si>
    <t>Régulation Génique</t>
  </si>
  <si>
    <t>RGE401</t>
  </si>
  <si>
    <t>Génétique extra-chromosomique</t>
  </si>
  <si>
    <t>RGE402</t>
  </si>
  <si>
    <t>Régulation de l’expression des gènes</t>
  </si>
  <si>
    <t>RGE403</t>
  </si>
  <si>
    <t>Régulations épigénétiques</t>
  </si>
  <si>
    <t>CSE400</t>
  </si>
  <si>
    <t>Concept, Suivi et Evaluation des Projets</t>
  </si>
  <si>
    <t>Concept, suivi et évaluation des projets</t>
  </si>
  <si>
    <t>Prof Zoro Bi Irie Arsène</t>
  </si>
  <si>
    <t>ESJ400</t>
  </si>
  <si>
    <t>Environnement Socio-Economique et Juridique de la Production Animale et Végétale</t>
  </si>
  <si>
    <t>ESJ401</t>
  </si>
  <si>
    <t>Sociologie du développement et notion de droit foncier</t>
  </si>
  <si>
    <t>ESJ402</t>
  </si>
  <si>
    <t>Economie agricole</t>
  </si>
  <si>
    <t>ESJ403</t>
  </si>
  <si>
    <t>Démarche qualité et biosécurité en production et commercialisation animale et végétale</t>
  </si>
  <si>
    <t>Total semestre 2</t>
  </si>
  <si>
    <t>Option génétique végétale</t>
  </si>
  <si>
    <t>GEQ500</t>
  </si>
  <si>
    <t>Génétique Quantitative</t>
  </si>
  <si>
    <t>GEQ501</t>
  </si>
  <si>
    <t>Fondamentaux de la génétique quantitative</t>
  </si>
  <si>
    <t>Dr MC SIE Raoul Sylvere</t>
  </si>
  <si>
    <t>GEQ502</t>
  </si>
  <si>
    <t>Analyse génétique des caractères quantitatifs</t>
  </si>
  <si>
    <t>GEG500</t>
  </si>
  <si>
    <t>Génie Génétique</t>
  </si>
  <si>
    <t>GEG501</t>
  </si>
  <si>
    <t>Les outils du génie génétique</t>
  </si>
  <si>
    <t>Dr KOFFI Kouame Guillaume</t>
  </si>
  <si>
    <t>GEG502</t>
  </si>
  <si>
    <t>Les applications du génie génétique</t>
  </si>
  <si>
    <t>Amélioration Génétique des Plantes</t>
  </si>
  <si>
    <t>Gestion de la qualité des productions végétales</t>
  </si>
  <si>
    <t>AGR500</t>
  </si>
  <si>
    <t>Amélioration Génétique de la Résistance des Plantes</t>
  </si>
  <si>
    <t>AGR501</t>
  </si>
  <si>
    <t>Physiologie et mécanisme de défense des plantes</t>
  </si>
  <si>
    <t>AGR502</t>
  </si>
  <si>
    <t>Amélioration génétique de la résistance des plantes aux bio-agresseurs</t>
  </si>
  <si>
    <t>AGR503</t>
  </si>
  <si>
    <t>Amélioration génétique de la résistance des plantes aux facteurs abiotiques</t>
  </si>
  <si>
    <t>PTT500</t>
  </si>
  <si>
    <t>Phytotechnie Tropicale</t>
  </si>
  <si>
    <t>PTT501</t>
  </si>
  <si>
    <t>Fondements de l’agriculture en régions tropicales</t>
  </si>
  <si>
    <t>PTT502</t>
  </si>
  <si>
    <t>Perspectives d’amélioration des productions végétales en régions tropicales</t>
  </si>
  <si>
    <t>SEV500</t>
  </si>
  <si>
    <t>Systématique et Evolution Végétale</t>
  </si>
  <si>
    <t>Systématique et évolution végétale</t>
  </si>
  <si>
    <t xml:space="preserve">Dr MC Neuba DANHO </t>
  </si>
  <si>
    <t>AGB500</t>
  </si>
  <si>
    <t>AgroBusiness</t>
  </si>
  <si>
    <t>AGB50</t>
  </si>
  <si>
    <t>Agrobusiness</t>
  </si>
  <si>
    <t>Mr SARKA Coulibaly</t>
  </si>
  <si>
    <t>ELS500</t>
  </si>
  <si>
    <t>Entreprenariat et Leadership</t>
  </si>
  <si>
    <t>Entreprenariat et leadership</t>
  </si>
  <si>
    <t>TOTAL SEMESTRE 3</t>
  </si>
  <si>
    <t>Option génétique animale</t>
  </si>
  <si>
    <t>Code</t>
  </si>
  <si>
    <t>HE</t>
  </si>
  <si>
    <t>AGA500</t>
  </si>
  <si>
    <t>Amélioration Génétique des Animaux</t>
  </si>
  <si>
    <t>AGA501</t>
  </si>
  <si>
    <t>Amélioration génétique des animaux d’élevage</t>
  </si>
  <si>
    <t>NDRI AYA LYDIE / Mr ZAKPA GBODJO</t>
  </si>
  <si>
    <t>AGA502</t>
  </si>
  <si>
    <t>Gestion de la qualité des productions animales</t>
  </si>
  <si>
    <t>BGA500</t>
  </si>
  <si>
    <t>Bases génétiques de la Production Animale</t>
  </si>
  <si>
    <t>BGA501</t>
  </si>
  <si>
    <t>Systèmes de production et biotechnologie de la reproduction</t>
  </si>
  <si>
    <t>BGA502</t>
  </si>
  <si>
    <t>BGA503</t>
  </si>
  <si>
    <t>Génétique et sélection des animaux domestiques</t>
  </si>
  <si>
    <t>SAE500</t>
  </si>
  <si>
    <t>Santé animale et environnement</t>
  </si>
  <si>
    <t>SAE501</t>
  </si>
  <si>
    <t>Santé et pathologies des animaux d’élevage</t>
  </si>
  <si>
    <t>Dr ETCHIAN ASSOI OLIVIER</t>
  </si>
  <si>
    <t>SAE502</t>
  </si>
  <si>
    <t>Ecophysiologie</t>
  </si>
  <si>
    <t>SAE503</t>
  </si>
  <si>
    <t>Ecotoxicologie</t>
  </si>
  <si>
    <t>SEA500</t>
  </si>
  <si>
    <r>
      <t>Systématique</t>
    </r>
    <r>
      <rPr>
        <sz val="9"/>
        <color theme="1"/>
        <rFont val="Calibri"/>
        <family val="2"/>
        <scheme val="minor"/>
      </rPr>
      <t xml:space="preserve"> et Evolution Animale</t>
    </r>
  </si>
  <si>
    <t>Systématique et évolution animale</t>
  </si>
  <si>
    <r>
      <t xml:space="preserve">Dr </t>
    </r>
    <r>
      <rPr>
        <sz val="9"/>
        <color theme="1"/>
        <rFont val="Verdana"/>
        <family val="2"/>
      </rPr>
      <t>KOFFI KONAN MEXMIN</t>
    </r>
  </si>
  <si>
    <t>ALS500</t>
  </si>
  <si>
    <t>Stage de fin de cycle</t>
  </si>
  <si>
    <t>TOTAL SEMESTRE 4</t>
  </si>
  <si>
    <t>DOMAINE :  SCIENCES ET TECHNOLOGIES</t>
  </si>
  <si>
    <t>SPECIALITE :  Botanique et Phythotérapie</t>
  </si>
  <si>
    <t>Semestre1</t>
  </si>
  <si>
    <t>CodeUE</t>
  </si>
  <si>
    <t>Unité d’enseignement</t>
  </si>
  <si>
    <t xml:space="preserve">TP </t>
  </si>
  <si>
    <t>UE FONDAMENTALE</t>
  </si>
  <si>
    <t>PHM400</t>
  </si>
  <si>
    <t>Physiologie moléculaires</t>
  </si>
  <si>
    <t>PHM401</t>
  </si>
  <si>
    <t>Métabolisme des glucides et des lipides</t>
  </si>
  <si>
    <t>PHM402</t>
  </si>
  <si>
    <t>Métabolisme des protéines et des vitamines</t>
  </si>
  <si>
    <t>UE DE SPECIALITE</t>
  </si>
  <si>
    <t>MTP400</t>
  </si>
  <si>
    <t>Médecine traditionnelle et Pharmacopée africaine</t>
  </si>
  <si>
    <t>MTP401</t>
  </si>
  <si>
    <t>Médecine traditionnelle</t>
  </si>
  <si>
    <t>MTP402</t>
  </si>
  <si>
    <t>Pharmacopée africaine</t>
  </si>
  <si>
    <t>PSC400</t>
  </si>
  <si>
    <t xml:space="preserve">Pathologie des systèmes nerveux cardiovasculaire et digestif </t>
  </si>
  <si>
    <t>PSC401</t>
  </si>
  <si>
    <t xml:space="preserve">Pathologie du système nerveux </t>
  </si>
  <si>
    <t>PSC402</t>
  </si>
  <si>
    <t xml:space="preserve">Pathologie du système cardiovasculaire </t>
  </si>
  <si>
    <t>PSC403</t>
  </si>
  <si>
    <t xml:space="preserve">Pathologie du système digestif </t>
  </si>
  <si>
    <t>Dr KOUAKOU Léandre</t>
  </si>
  <si>
    <t>DDN400</t>
  </si>
  <si>
    <t>DDN401</t>
  </si>
  <si>
    <t>Pathologie du métabolisme</t>
  </si>
  <si>
    <t>DDN402</t>
  </si>
  <si>
    <t>Physiopathologie de la nutrition</t>
  </si>
  <si>
    <t>CMI400</t>
  </si>
  <si>
    <t>Cancérologie et maladies infectieuses</t>
  </si>
  <si>
    <t>CMI401</t>
  </si>
  <si>
    <t>Cancer</t>
  </si>
  <si>
    <t>Dr TANOH Koffi Mathurain</t>
  </si>
  <si>
    <t>CMI402</t>
  </si>
  <si>
    <t>Pathologie infectieuse</t>
  </si>
  <si>
    <t>Dr KONE Mama</t>
  </si>
  <si>
    <t>Mme ATTOKPA Kouassi</t>
  </si>
  <si>
    <t>TOG400</t>
  </si>
  <si>
    <t>Toxicologie générale</t>
  </si>
  <si>
    <t>TOG401</t>
  </si>
  <si>
    <t xml:space="preserve">Toxicologie des systèmes </t>
  </si>
  <si>
    <t>TOG402</t>
  </si>
  <si>
    <t>Immunotoxicologie</t>
  </si>
  <si>
    <t>PME400</t>
  </si>
  <si>
    <t>Plantes médicinales</t>
  </si>
  <si>
    <t>PME401</t>
  </si>
  <si>
    <t>Taxonomie des plantes africaines</t>
  </si>
  <si>
    <t>PME402</t>
  </si>
  <si>
    <t>Caractères botaniques</t>
  </si>
  <si>
    <t>PLT400</t>
  </si>
  <si>
    <t>Plantes toxiques</t>
  </si>
  <si>
    <t>Plantes médicinales toxiques</t>
  </si>
  <si>
    <t>STE400</t>
  </si>
  <si>
    <t>Dr MC KONE Mamidou Witabouna</t>
  </si>
  <si>
    <t>BOS400</t>
  </si>
  <si>
    <t>BOS401</t>
  </si>
  <si>
    <t>BOS402</t>
  </si>
  <si>
    <t>Projet personnel</t>
  </si>
  <si>
    <t>Semestre 3</t>
  </si>
  <si>
    <r>
      <t xml:space="preserve">Option </t>
    </r>
    <r>
      <rPr>
        <b/>
        <sz val="13"/>
        <color theme="1"/>
        <rFont val="Calibri"/>
        <family val="2"/>
        <scheme val="minor"/>
      </rPr>
      <t>Botanique et Phytothérapie</t>
    </r>
  </si>
  <si>
    <t>CONTENUS DES ENSEIGNEMENTS: INTITULES DES UE ET ECUE</t>
  </si>
  <si>
    <t>ORG500</t>
  </si>
  <si>
    <t>Organographie</t>
  </si>
  <si>
    <t>ORG501</t>
  </si>
  <si>
    <t>Appareil végétatif</t>
  </si>
  <si>
    <t>ORG502</t>
  </si>
  <si>
    <t>Appareil reproducteur</t>
  </si>
  <si>
    <t>ECV500</t>
  </si>
  <si>
    <t xml:space="preserve">Ecologie et conservation des végétaux </t>
  </si>
  <si>
    <t>ECV501</t>
  </si>
  <si>
    <t>Ecologie végétale</t>
  </si>
  <si>
    <t>ECV502</t>
  </si>
  <si>
    <t>Conservation des ressources végétales</t>
  </si>
  <si>
    <t>ECV503</t>
  </si>
  <si>
    <t>Impact environnemental</t>
  </si>
  <si>
    <t>PHG500</t>
  </si>
  <si>
    <t>Pharmacognosie</t>
  </si>
  <si>
    <t>PHG501</t>
  </si>
  <si>
    <t>Pharmacognosie générale</t>
  </si>
  <si>
    <t>PHG502</t>
  </si>
  <si>
    <t>Pharmacognosie spéciale 1</t>
  </si>
  <si>
    <t>PHG503</t>
  </si>
  <si>
    <t>Pharmacognosie spéciale 2</t>
  </si>
  <si>
    <t>FPM500</t>
  </si>
  <si>
    <t>Formulation et production des médicaments traditionnels améliorés (MTA)</t>
  </si>
  <si>
    <t>FPM501</t>
  </si>
  <si>
    <t>Biopharmacie</t>
  </si>
  <si>
    <t>FPM502</t>
  </si>
  <si>
    <t>Management de la qualité</t>
  </si>
  <si>
    <t>Dr VANGAH Henriette</t>
  </si>
  <si>
    <t>ARO500</t>
  </si>
  <si>
    <t>Aromathérapie</t>
  </si>
  <si>
    <t>ARO501</t>
  </si>
  <si>
    <t xml:space="preserve">Production et forme galénique des huiles essentielles </t>
  </si>
  <si>
    <t>ARO502</t>
  </si>
  <si>
    <t>Voie d’administration et toxicité</t>
  </si>
  <si>
    <t>MRP500</t>
  </si>
  <si>
    <t>Méthode de recherche en Pharmacologie et Phytothérapie</t>
  </si>
  <si>
    <t>MRP501</t>
  </si>
  <si>
    <t>Méthodologie en pharmacologie</t>
  </si>
  <si>
    <t>Prof. YAPO Angoué</t>
  </si>
  <si>
    <t>MRP502</t>
  </si>
  <si>
    <t>Méthodologie en phytothérapie</t>
  </si>
  <si>
    <t>Dr KONE Maama</t>
  </si>
  <si>
    <t>SOC500</t>
  </si>
  <si>
    <t>Sociologie</t>
  </si>
  <si>
    <t>Dr N'Guessan Sosthène</t>
  </si>
  <si>
    <t>Biologie et santé</t>
  </si>
  <si>
    <t xml:space="preserve">MODALITE D'EVALUATION </t>
  </si>
  <si>
    <t>ENSEIGNANT CHARGER DR L'UE</t>
  </si>
  <si>
    <t>CC %</t>
  </si>
  <si>
    <t>ET %</t>
  </si>
  <si>
    <t>NCF500</t>
  </si>
  <si>
    <t>Neuromédiateurs et comportements fondamentaux</t>
  </si>
  <si>
    <t>NCF501</t>
  </si>
  <si>
    <t>Neuromédiateur et système nerveux autonome</t>
  </si>
  <si>
    <t>60%%</t>
  </si>
  <si>
    <t>Dr MCKOUAKOU Léandre</t>
  </si>
  <si>
    <t>NCF502</t>
  </si>
  <si>
    <t>Etude des comportements fondamentaux</t>
  </si>
  <si>
    <t>PHI500</t>
  </si>
  <si>
    <t>Pharmacologie infectieuse</t>
  </si>
  <si>
    <t>PHI501</t>
  </si>
  <si>
    <t>Antimicrobiens</t>
  </si>
  <si>
    <t>PHI502</t>
  </si>
  <si>
    <t>Immunomodu-</t>
  </si>
  <si>
    <t>Dr MC BLEYERE Mathieu</t>
  </si>
  <si>
    <t>PSC500</t>
  </si>
  <si>
    <t>Pharmacologie du système cardiovasculaire</t>
  </si>
  <si>
    <t>PSC501</t>
  </si>
  <si>
    <t>Pharmacologie du système cardiaque</t>
  </si>
  <si>
    <t>PSC502</t>
  </si>
  <si>
    <t>Pharmacologie de l’hémostase</t>
  </si>
  <si>
    <t>PHR500</t>
  </si>
  <si>
    <t>Physiologie de la reproduction</t>
  </si>
  <si>
    <t>PHR501</t>
  </si>
  <si>
    <t>Fonctionnement des organes de reproduction et développement fœto-placentaire</t>
  </si>
  <si>
    <t>PHR502</t>
  </si>
  <si>
    <t xml:space="preserve">Mécanisme de contrôle des hormones de reproduction </t>
  </si>
  <si>
    <t xml:space="preserve">Méthodologie en pharmacologie </t>
  </si>
  <si>
    <t>ANC500</t>
  </si>
  <si>
    <t>Semestre 4</t>
  </si>
  <si>
    <t>SEE500</t>
  </si>
  <si>
    <t>Dr BLEYERE Mathieu</t>
  </si>
  <si>
    <t>Prof. ZORO BI Irié</t>
  </si>
  <si>
    <t>Dr MALAN Djah F</t>
  </si>
  <si>
    <t xml:space="preserve">Dr NEUBA DANHO </t>
  </si>
  <si>
    <t>Dr KONE Mamidou</t>
  </si>
  <si>
    <t>Dr KONE Mamidou/ Dr MC TRA BI Fezan Honora</t>
  </si>
  <si>
    <t xml:space="preserve">Dr TRA BI Fezan </t>
  </si>
  <si>
    <t>Dr BAKAYOKO Adama</t>
  </si>
  <si>
    <r>
      <t xml:space="preserve">Diabétologie  et </t>
    </r>
    <r>
      <rPr>
        <sz val="8"/>
        <color rgb="FF000000"/>
        <rFont val="Times New Roman"/>
        <family val="1"/>
      </rPr>
      <t>Disfonctionnement nutritionnelle</t>
    </r>
  </si>
  <si>
    <t xml:space="preserve">Dr MANDA épse VANGAH </t>
  </si>
  <si>
    <t>Prof. ZORO  Bi  IRIE</t>
  </si>
  <si>
    <t>Dr KONATE Souleymane</t>
  </si>
  <si>
    <t>Dr TRA BI Fezan Honora</t>
  </si>
  <si>
    <t xml:space="preserve">Dr MC KONE Mamidou </t>
  </si>
  <si>
    <t>Koné Mama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</si>
</sst>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theme="1"/>
      <name val="Arial"/>
      <family val="2"/>
    </font>
    <font>
      <b/>
      <sz val="9"/>
      <color rgb="FF000000"/>
      <name val="Cambria"/>
      <family val="1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FF0000"/>
      <name val="Calibri"/>
      <family val="2"/>
    </font>
    <font>
      <sz val="9"/>
      <color rgb="FF000000"/>
      <name val="Cambria"/>
      <family val="1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name val="Cambria"/>
      <family val="1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sz val="9"/>
      <color rgb="FF000000"/>
      <name val="Calibri"/>
      <family val="2"/>
    </font>
    <font>
      <sz val="11"/>
      <color theme="1"/>
      <name val="Calibri"/>
      <family val="2"/>
    </font>
    <font>
      <b/>
      <sz val="9"/>
      <color rgb="FF000000"/>
      <name val="Calibri"/>
      <family val="2"/>
    </font>
    <font>
      <b/>
      <sz val="8"/>
      <color rgb="FF000000"/>
      <name val="Calibri"/>
      <family val="2"/>
    </font>
    <font>
      <sz val="9"/>
      <name val="Calibri"/>
      <family val="2"/>
    </font>
    <font>
      <sz val="9"/>
      <color rgb="FFFF0000"/>
      <name val="Calibri"/>
      <family val="2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Times New Roman"/>
      <family val="1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rgb="FFFF0000"/>
      <name val="Times New Roman"/>
      <family val="1"/>
    </font>
    <font>
      <sz val="9"/>
      <color rgb="FF000000"/>
      <name val="Times New Roman"/>
      <family val="1"/>
    </font>
    <font>
      <i/>
      <sz val="9"/>
      <color theme="1"/>
      <name val="Times New Roman"/>
      <family val="1"/>
    </font>
    <font>
      <sz val="8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9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Verdana"/>
      <family val="2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21">
    <xf numFmtId="0" fontId="0" fillId="0" borderId="0" xfId="0"/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 applyProtection="1">
      <alignment horizontal="center" wrapText="1"/>
      <protection locked="0"/>
    </xf>
    <xf numFmtId="0" fontId="6" fillId="0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readingOrder="1"/>
    </xf>
    <xf numFmtId="0" fontId="8" fillId="0" borderId="6" xfId="0" applyFont="1" applyFill="1" applyBorder="1" applyAlignment="1">
      <alignment horizontal="center" vertical="center" readingOrder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9" fontId="13" fillId="0" borderId="3" xfId="0" applyNumberFormat="1" applyFont="1" applyBorder="1"/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8" fillId="0" borderId="9" xfId="0" applyFont="1" applyFill="1" applyBorder="1" applyAlignment="1">
      <alignment horizontal="center" vertical="center" readingOrder="1"/>
    </xf>
    <xf numFmtId="0" fontId="8" fillId="0" borderId="10" xfId="0" applyFont="1" applyFill="1" applyBorder="1" applyAlignment="1">
      <alignment horizontal="center" vertical="center" readingOrder="1"/>
    </xf>
    <xf numFmtId="0" fontId="12" fillId="0" borderId="3" xfId="0" applyFont="1" applyBorder="1" applyAlignment="1">
      <alignment horizontal="center" vertical="center" wrapText="1"/>
    </xf>
    <xf numFmtId="0" fontId="13" fillId="0" borderId="4" xfId="0" applyFont="1" applyBorder="1"/>
    <xf numFmtId="0" fontId="11" fillId="0" borderId="3" xfId="0" applyFont="1" applyBorder="1" applyAlignment="1">
      <alignment horizontal="center" vertical="center" wrapText="1"/>
    </xf>
    <xf numFmtId="0" fontId="0" fillId="0" borderId="3" xfId="0" applyBorder="1"/>
    <xf numFmtId="0" fontId="3" fillId="0" borderId="11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15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5" fillId="0" borderId="1" xfId="0" applyFont="1" applyFill="1" applyBorder="1" applyAlignment="1">
      <alignment horizontal="center" wrapText="1"/>
    </xf>
    <xf numFmtId="0" fontId="15" fillId="0" borderId="3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/>
    </xf>
    <xf numFmtId="0" fontId="3" fillId="0" borderId="11" xfId="0" applyFont="1" applyBorder="1" applyAlignment="1">
      <alignment horizontal="right" vertical="center"/>
    </xf>
    <xf numFmtId="0" fontId="3" fillId="0" borderId="11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0" fillId="0" borderId="0" xfId="0" applyAlignment="1">
      <alignment vertical="justify"/>
    </xf>
    <xf numFmtId="0" fontId="6" fillId="0" borderId="2" xfId="0" applyFont="1" applyFill="1" applyBorder="1" applyAlignment="1">
      <alignment horizontal="center" vertical="justify" wrapText="1"/>
    </xf>
    <xf numFmtId="0" fontId="6" fillId="0" borderId="4" xfId="0" applyFont="1" applyFill="1" applyBorder="1" applyAlignment="1">
      <alignment horizontal="center" vertical="justify" wrapText="1"/>
    </xf>
    <xf numFmtId="0" fontId="13" fillId="0" borderId="7" xfId="0" applyFont="1" applyBorder="1" applyAlignment="1">
      <alignment horizontal="center" vertical="justify"/>
    </xf>
    <xf numFmtId="0" fontId="13" fillId="0" borderId="8" xfId="0" applyFont="1" applyBorder="1" applyAlignment="1">
      <alignment horizontal="center" vertical="justify"/>
    </xf>
    <xf numFmtId="0" fontId="0" fillId="0" borderId="7" xfId="0" applyBorder="1" applyAlignment="1">
      <alignment horizontal="center" vertical="justify"/>
    </xf>
    <xf numFmtId="0" fontId="0" fillId="0" borderId="8" xfId="0" applyBorder="1" applyAlignment="1">
      <alignment horizontal="center" vertical="justify"/>
    </xf>
    <xf numFmtId="0" fontId="14" fillId="0" borderId="7" xfId="0" applyFont="1" applyBorder="1" applyAlignment="1">
      <alignment horizontal="center" vertical="justify"/>
    </xf>
    <xf numFmtId="0" fontId="14" fillId="0" borderId="8" xfId="0" applyFont="1" applyBorder="1" applyAlignment="1">
      <alignment horizontal="center" vertical="justify"/>
    </xf>
    <xf numFmtId="0" fontId="13" fillId="0" borderId="4" xfId="0" applyFont="1" applyBorder="1" applyAlignment="1">
      <alignment vertical="justify"/>
    </xf>
    <xf numFmtId="0" fontId="0" fillId="0" borderId="4" xfId="0" applyBorder="1" applyAlignment="1">
      <alignment vertical="justify"/>
    </xf>
    <xf numFmtId="0" fontId="0" fillId="0" borderId="0" xfId="0" applyBorder="1" applyAlignment="1">
      <alignment vertical="justify"/>
    </xf>
    <xf numFmtId="0" fontId="14" fillId="0" borderId="7" xfId="0" applyFont="1" applyBorder="1" applyAlignment="1">
      <alignment horizontal="center" vertical="justify" wrapText="1"/>
    </xf>
    <xf numFmtId="0" fontId="14" fillId="0" borderId="13" xfId="0" applyFont="1" applyBorder="1" applyAlignment="1">
      <alignment horizontal="center" vertical="justify" wrapText="1"/>
    </xf>
    <xf numFmtId="0" fontId="14" fillId="0" borderId="8" xfId="0" applyFont="1" applyBorder="1" applyAlignment="1">
      <alignment horizontal="center" vertical="justify" wrapText="1"/>
    </xf>
    <xf numFmtId="0" fontId="14" fillId="0" borderId="13" xfId="0" applyFont="1" applyBorder="1" applyAlignment="1">
      <alignment horizontal="center" vertical="justify"/>
    </xf>
    <xf numFmtId="0" fontId="13" fillId="0" borderId="13" xfId="0" applyFont="1" applyBorder="1" applyAlignment="1">
      <alignment horizontal="center" vertical="justify"/>
    </xf>
    <xf numFmtId="0" fontId="0" fillId="0" borderId="12" xfId="0" applyBorder="1" applyAlignment="1">
      <alignment vertical="justify"/>
    </xf>
    <xf numFmtId="0" fontId="17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wrapText="1"/>
    </xf>
    <xf numFmtId="0" fontId="13" fillId="0" borderId="8" xfId="0" applyFont="1" applyBorder="1" applyAlignment="1">
      <alignment horizontal="center" wrapText="1"/>
    </xf>
    <xf numFmtId="0" fontId="15" fillId="0" borderId="0" xfId="0" applyFont="1"/>
    <xf numFmtId="0" fontId="11" fillId="0" borderId="0" xfId="0" applyFont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wrapText="1"/>
    </xf>
    <xf numFmtId="0" fontId="13" fillId="0" borderId="13" xfId="0" applyFont="1" applyBorder="1" applyAlignment="1">
      <alignment horizontal="center" wrapText="1"/>
    </xf>
    <xf numFmtId="0" fontId="3" fillId="0" borderId="23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20" fillId="0" borderId="0" xfId="0" applyFont="1" applyFill="1" applyBorder="1"/>
    <xf numFmtId="0" fontId="21" fillId="0" borderId="24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wrapText="1"/>
    </xf>
    <xf numFmtId="0" fontId="21" fillId="0" borderId="25" xfId="0" applyFont="1" applyFill="1" applyBorder="1" applyAlignment="1">
      <alignment horizontal="center" vertical="center" readingOrder="1"/>
    </xf>
    <xf numFmtId="0" fontId="21" fillId="0" borderId="11" xfId="0" applyFont="1" applyFill="1" applyBorder="1" applyAlignment="1">
      <alignment horizontal="center" vertical="center" wrapText="1" readingOrder="1"/>
    </xf>
    <xf numFmtId="0" fontId="21" fillId="0" borderId="11" xfId="0" applyFont="1" applyFill="1" applyBorder="1" applyAlignment="1">
      <alignment horizontal="center" vertical="center" readingOrder="1"/>
    </xf>
    <xf numFmtId="0" fontId="21" fillId="0" borderId="11" xfId="0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 wrapText="1"/>
    </xf>
    <xf numFmtId="0" fontId="22" fillId="0" borderId="11" xfId="0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 wrapText="1"/>
    </xf>
    <xf numFmtId="0" fontId="21" fillId="0" borderId="11" xfId="0" applyFont="1" applyFill="1" applyBorder="1" applyAlignment="1">
      <alignment horizontal="center"/>
    </xf>
    <xf numFmtId="0" fontId="19" fillId="0" borderId="26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vertical="center" wrapText="1"/>
    </xf>
    <xf numFmtId="0" fontId="19" fillId="0" borderId="1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19" fillId="0" borderId="28" xfId="0" applyFont="1" applyFill="1" applyBorder="1" applyAlignment="1">
      <alignment horizontal="center" vertical="center" wrapText="1"/>
    </xf>
    <xf numFmtId="0" fontId="19" fillId="0" borderId="29" xfId="0" applyFont="1" applyFill="1" applyBorder="1" applyAlignment="1">
      <alignment horizontal="center" vertical="center"/>
    </xf>
    <xf numFmtId="0" fontId="19" fillId="0" borderId="14" xfId="0" applyFont="1" applyFill="1" applyBorder="1" applyAlignment="1">
      <alignment vertical="center" wrapText="1"/>
    </xf>
    <xf numFmtId="0" fontId="19" fillId="0" borderId="30" xfId="0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 wrapText="1"/>
    </xf>
    <xf numFmtId="0" fontId="19" fillId="0" borderId="31" xfId="0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vertical="center" wrapText="1"/>
    </xf>
    <xf numFmtId="0" fontId="19" fillId="0" borderId="15" xfId="0" applyFont="1" applyFill="1" applyBorder="1" applyAlignment="1">
      <alignment horizontal="center" vertical="center"/>
    </xf>
    <xf numFmtId="0" fontId="19" fillId="0" borderId="32" xfId="0" applyFont="1" applyFill="1" applyBorder="1" applyAlignment="1">
      <alignment horizontal="center" vertical="center" wrapText="1"/>
    </xf>
    <xf numFmtId="0" fontId="19" fillId="0" borderId="30" xfId="0" applyFont="1" applyFill="1" applyBorder="1" applyAlignment="1">
      <alignment vertical="center" wrapText="1"/>
    </xf>
    <xf numFmtId="0" fontId="19" fillId="0" borderId="33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vertical="center" wrapText="1"/>
    </xf>
    <xf numFmtId="0" fontId="19" fillId="0" borderId="34" xfId="0" applyFont="1" applyFill="1" applyBorder="1" applyAlignment="1">
      <alignment horizontal="center" vertical="center"/>
    </xf>
    <xf numFmtId="9" fontId="19" fillId="0" borderId="34" xfId="0" applyNumberFormat="1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vertical="center" wrapText="1"/>
    </xf>
    <xf numFmtId="9" fontId="19" fillId="0" borderId="3" xfId="0" applyNumberFormat="1" applyFont="1" applyFill="1" applyBorder="1" applyAlignment="1">
      <alignment horizontal="center" vertical="center"/>
    </xf>
    <xf numFmtId="0" fontId="19" fillId="0" borderId="14" xfId="0" applyFont="1" applyFill="1" applyBorder="1" applyAlignment="1">
      <alignment horizontal="center" vertical="center"/>
    </xf>
    <xf numFmtId="0" fontId="19" fillId="0" borderId="14" xfId="0" applyFont="1" applyFill="1" applyBorder="1" applyAlignment="1">
      <alignment vertical="center" wrapText="1"/>
    </xf>
    <xf numFmtId="9" fontId="19" fillId="0" borderId="14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vertical="center" wrapText="1"/>
    </xf>
    <xf numFmtId="9" fontId="19" fillId="0" borderId="1" xfId="0" applyNumberFormat="1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vertical="center" wrapText="1"/>
    </xf>
    <xf numFmtId="9" fontId="19" fillId="0" borderId="11" xfId="0" applyNumberFormat="1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vertical="center" wrapText="1"/>
    </xf>
    <xf numFmtId="0" fontId="19" fillId="0" borderId="30" xfId="0" applyFont="1" applyFill="1" applyBorder="1" applyAlignment="1">
      <alignment vertical="center" wrapText="1"/>
    </xf>
    <xf numFmtId="0" fontId="19" fillId="0" borderId="2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vertical="center" wrapText="1"/>
    </xf>
    <xf numFmtId="0" fontId="19" fillId="0" borderId="1" xfId="0" applyFont="1" applyFill="1" applyBorder="1" applyAlignment="1">
      <alignment vertical="center"/>
    </xf>
    <xf numFmtId="0" fontId="19" fillId="0" borderId="2" xfId="0" applyFont="1" applyFill="1" applyBorder="1" applyAlignment="1">
      <alignment horizontal="center" vertical="center" wrapText="1"/>
    </xf>
    <xf numFmtId="0" fontId="19" fillId="0" borderId="35" xfId="0" applyFont="1" applyFill="1" applyBorder="1" applyAlignment="1">
      <alignment horizontal="center" vertical="center" wrapText="1"/>
    </xf>
    <xf numFmtId="0" fontId="19" fillId="0" borderId="30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 wrapText="1"/>
    </xf>
    <xf numFmtId="0" fontId="19" fillId="0" borderId="36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vertical="center" wrapText="1"/>
    </xf>
    <xf numFmtId="0" fontId="19" fillId="0" borderId="10" xfId="0" applyFont="1" applyFill="1" applyBorder="1" applyAlignment="1">
      <alignment horizontal="center" vertical="center"/>
    </xf>
    <xf numFmtId="9" fontId="19" fillId="0" borderId="10" xfId="0" applyNumberFormat="1" applyFont="1" applyFill="1" applyBorder="1" applyAlignment="1">
      <alignment horizontal="center" vertical="center"/>
    </xf>
    <xf numFmtId="0" fontId="19" fillId="0" borderId="37" xfId="0" applyFont="1" applyFill="1" applyBorder="1" applyAlignment="1">
      <alignment horizontal="center" vertical="center" wrapText="1"/>
    </xf>
    <xf numFmtId="0" fontId="19" fillId="0" borderId="31" xfId="0" applyFont="1" applyFill="1" applyBorder="1" applyAlignment="1">
      <alignment horizontal="center" vertical="center" wrapText="1"/>
    </xf>
    <xf numFmtId="0" fontId="19" fillId="0" borderId="15" xfId="0" applyFont="1" applyFill="1" applyBorder="1" applyAlignment="1">
      <alignment horizontal="center" vertical="center"/>
    </xf>
    <xf numFmtId="9" fontId="19" fillId="0" borderId="15" xfId="0" applyNumberFormat="1" applyFont="1" applyFill="1" applyBorder="1" applyAlignment="1">
      <alignment horizontal="center" vertical="center"/>
    </xf>
    <xf numFmtId="0" fontId="21" fillId="0" borderId="38" xfId="0" applyFont="1" applyFill="1" applyBorder="1" applyAlignment="1">
      <alignment horizontal="center" vertical="center"/>
    </xf>
    <xf numFmtId="0" fontId="21" fillId="0" borderId="9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1" fillId="0" borderId="39" xfId="0" applyFont="1" applyFill="1" applyBorder="1" applyAlignment="1">
      <alignment horizontal="center" vertical="center"/>
    </xf>
    <xf numFmtId="0" fontId="21" fillId="0" borderId="40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 wrapText="1"/>
    </xf>
    <xf numFmtId="0" fontId="21" fillId="0" borderId="23" xfId="0" applyFont="1" applyFill="1" applyBorder="1" applyAlignment="1">
      <alignment horizontal="center" vertical="center" readingOrder="1"/>
    </xf>
    <xf numFmtId="0" fontId="21" fillId="0" borderId="12" xfId="0" applyFont="1" applyFill="1" applyBorder="1" applyAlignment="1">
      <alignment horizontal="center" vertical="center" wrapText="1"/>
    </xf>
    <xf numFmtId="0" fontId="23" fillId="0" borderId="26" xfId="0" applyFont="1" applyFill="1" applyBorder="1" applyAlignment="1">
      <alignment horizontal="center" vertical="center" readingOrder="1"/>
    </xf>
    <xf numFmtId="0" fontId="23" fillId="0" borderId="27" xfId="0" applyFont="1" applyFill="1" applyBorder="1" applyAlignment="1">
      <alignment horizontal="center" vertical="center" wrapText="1" readingOrder="1"/>
    </xf>
    <xf numFmtId="0" fontId="23" fillId="0" borderId="1" xfId="0" applyFont="1" applyFill="1" applyBorder="1" applyAlignment="1">
      <alignment horizontal="center" vertical="center" readingOrder="1"/>
    </xf>
    <xf numFmtId="0" fontId="23" fillId="0" borderId="1" xfId="0" applyFont="1" applyFill="1" applyBorder="1" applyAlignment="1">
      <alignment horizontal="left" vertical="center" wrapText="1" readingOrder="1"/>
    </xf>
    <xf numFmtId="0" fontId="23" fillId="0" borderId="6" xfId="0" applyFont="1" applyFill="1" applyBorder="1" applyAlignment="1">
      <alignment horizontal="center" vertical="center" readingOrder="1"/>
    </xf>
    <xf numFmtId="0" fontId="8" fillId="0" borderId="28" xfId="0" applyFont="1" applyFill="1" applyBorder="1" applyAlignment="1">
      <alignment horizontal="center" vertical="center" readingOrder="1"/>
    </xf>
    <xf numFmtId="0" fontId="24" fillId="0" borderId="29" xfId="0" applyFont="1" applyFill="1" applyBorder="1" applyAlignment="1">
      <alignment horizontal="center" vertical="center" readingOrder="1"/>
    </xf>
    <xf numFmtId="0" fontId="23" fillId="0" borderId="41" xfId="0" applyFont="1" applyFill="1" applyBorder="1" applyAlignment="1">
      <alignment horizontal="center" vertical="center" wrapText="1" readingOrder="1"/>
    </xf>
    <xf numFmtId="0" fontId="23" fillId="0" borderId="3" xfId="0" applyFont="1" applyFill="1" applyBorder="1" applyAlignment="1">
      <alignment horizontal="center" vertical="center" readingOrder="1"/>
    </xf>
    <xf numFmtId="0" fontId="23" fillId="0" borderId="3" xfId="0" applyFont="1" applyFill="1" applyBorder="1" applyAlignment="1">
      <alignment horizontal="left" vertical="center" wrapText="1" readingOrder="1"/>
    </xf>
    <xf numFmtId="0" fontId="23" fillId="0" borderId="30" xfId="0" applyFont="1" applyFill="1" applyBorder="1" applyAlignment="1">
      <alignment horizontal="center" vertical="center" readingOrder="1"/>
    </xf>
    <xf numFmtId="9" fontId="23" fillId="0" borderId="3" xfId="0" applyNumberFormat="1" applyFont="1" applyFill="1" applyBorder="1" applyAlignment="1">
      <alignment horizontal="center" vertical="center" readingOrder="1"/>
    </xf>
    <xf numFmtId="0" fontId="23" fillId="0" borderId="13" xfId="0" applyFont="1" applyFill="1" applyBorder="1" applyAlignment="1">
      <alignment horizontal="center" vertical="center" readingOrder="1"/>
    </xf>
    <xf numFmtId="0" fontId="24" fillId="0" borderId="31" xfId="0" applyFont="1" applyFill="1" applyBorder="1" applyAlignment="1">
      <alignment horizontal="center" vertical="center" readingOrder="1"/>
    </xf>
    <xf numFmtId="0" fontId="23" fillId="0" borderId="42" xfId="0" applyFont="1" applyFill="1" applyBorder="1" applyAlignment="1">
      <alignment horizontal="center" vertical="center" wrapText="1" readingOrder="1"/>
    </xf>
    <xf numFmtId="0" fontId="23" fillId="0" borderId="11" xfId="0" applyFont="1" applyFill="1" applyBorder="1" applyAlignment="1">
      <alignment horizontal="center" vertical="center" readingOrder="1"/>
    </xf>
    <xf numFmtId="0" fontId="23" fillId="0" borderId="11" xfId="0" applyFont="1" applyFill="1" applyBorder="1" applyAlignment="1">
      <alignment horizontal="left" vertical="center" wrapText="1" readingOrder="1"/>
    </xf>
    <xf numFmtId="0" fontId="23" fillId="0" borderId="15" xfId="0" applyFont="1" applyFill="1" applyBorder="1" applyAlignment="1">
      <alignment horizontal="center" vertical="center" readingOrder="1"/>
    </xf>
    <xf numFmtId="0" fontId="8" fillId="0" borderId="32" xfId="0" applyFont="1" applyFill="1" applyBorder="1" applyAlignment="1">
      <alignment horizontal="center" vertical="center" readingOrder="1"/>
    </xf>
    <xf numFmtId="0" fontId="23" fillId="0" borderId="27" xfId="0" applyFont="1" applyFill="1" applyBorder="1" applyAlignment="1">
      <alignment horizontal="left" vertical="center" wrapText="1" readingOrder="1"/>
    </xf>
    <xf numFmtId="0" fontId="23" fillId="0" borderId="41" xfId="0" applyFont="1" applyFill="1" applyBorder="1" applyAlignment="1">
      <alignment horizontal="left" vertical="center" wrapText="1" readingOrder="1"/>
    </xf>
    <xf numFmtId="0" fontId="23" fillId="0" borderId="14" xfId="0" applyFont="1" applyFill="1" applyBorder="1" applyAlignment="1">
      <alignment horizontal="center" vertical="center" readingOrder="1"/>
    </xf>
    <xf numFmtId="0" fontId="23" fillId="0" borderId="14" xfId="0" applyFont="1" applyFill="1" applyBorder="1" applyAlignment="1">
      <alignment horizontal="left" vertical="center" wrapText="1" readingOrder="1"/>
    </xf>
    <xf numFmtId="0" fontId="8" fillId="0" borderId="13" xfId="0" applyFont="1" applyFill="1" applyBorder="1" applyAlignment="1">
      <alignment horizontal="center" vertical="center" readingOrder="1"/>
    </xf>
    <xf numFmtId="0" fontId="23" fillId="0" borderId="28" xfId="0" applyFont="1" applyFill="1" applyBorder="1" applyAlignment="1">
      <alignment horizontal="center" vertical="center" readingOrder="1"/>
    </xf>
    <xf numFmtId="0" fontId="23" fillId="0" borderId="3" xfId="0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left" vertical="center" wrapText="1" readingOrder="1"/>
    </xf>
    <xf numFmtId="0" fontId="23" fillId="0" borderId="21" xfId="0" applyFont="1" applyFill="1" applyBorder="1" applyAlignment="1">
      <alignment horizontal="center" vertical="center" wrapText="1"/>
    </xf>
    <xf numFmtId="0" fontId="23" fillId="0" borderId="35" xfId="0" applyFont="1" applyFill="1" applyBorder="1" applyAlignment="1">
      <alignment horizontal="center" vertical="center" wrapText="1"/>
    </xf>
    <xf numFmtId="0" fontId="19" fillId="0" borderId="28" xfId="0" applyFont="1" applyFill="1" applyBorder="1" applyAlignment="1">
      <alignment horizontal="center" vertical="center" wrapText="1"/>
    </xf>
    <xf numFmtId="0" fontId="19" fillId="0" borderId="32" xfId="0" applyFont="1" applyFill="1" applyBorder="1" applyAlignment="1">
      <alignment horizontal="center" vertical="center" wrapText="1"/>
    </xf>
    <xf numFmtId="0" fontId="19" fillId="0" borderId="20" xfId="0" applyFont="1" applyFill="1" applyBorder="1" applyAlignment="1">
      <alignment horizontal="center" vertical="center"/>
    </xf>
    <xf numFmtId="9" fontId="19" fillId="0" borderId="24" xfId="0" applyNumberFormat="1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vertical="center" wrapText="1"/>
    </xf>
    <xf numFmtId="9" fontId="19" fillId="0" borderId="25" xfId="0" applyNumberFormat="1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 wrapText="1"/>
    </xf>
    <xf numFmtId="0" fontId="19" fillId="0" borderId="36" xfId="0" applyFont="1" applyFill="1" applyBorder="1" applyAlignment="1">
      <alignment horizontal="center"/>
    </xf>
    <xf numFmtId="0" fontId="19" fillId="0" borderId="10" xfId="0" applyFont="1" applyFill="1" applyBorder="1" applyAlignment="1">
      <alignment vertical="center"/>
    </xf>
    <xf numFmtId="0" fontId="19" fillId="0" borderId="38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 wrapText="1"/>
    </xf>
    <xf numFmtId="0" fontId="21" fillId="0" borderId="43" xfId="0" applyFont="1" applyFill="1" applyBorder="1" applyAlignment="1">
      <alignment horizontal="center" vertical="center"/>
    </xf>
    <xf numFmtId="0" fontId="21" fillId="0" borderId="37" xfId="0" applyFont="1" applyFill="1" applyBorder="1" applyAlignment="1">
      <alignment horizontal="center" vertical="center"/>
    </xf>
    <xf numFmtId="0" fontId="19" fillId="0" borderId="2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 wrapText="1"/>
    </xf>
    <xf numFmtId="0" fontId="19" fillId="0" borderId="23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left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vertical="center" wrapText="1"/>
    </xf>
    <xf numFmtId="0" fontId="26" fillId="0" borderId="26" xfId="0" applyFont="1" applyFill="1" applyBorder="1" applyAlignment="1">
      <alignment horizontal="center" vertical="center" wrapText="1"/>
    </xf>
    <xf numFmtId="0" fontId="26" fillId="0" borderId="6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vertical="center" wrapText="1"/>
    </xf>
    <xf numFmtId="0" fontId="26" fillId="0" borderId="31" xfId="0" applyFont="1" applyFill="1" applyBorder="1" applyAlignment="1">
      <alignment horizontal="center" vertical="center" wrapText="1"/>
    </xf>
    <xf numFmtId="0" fontId="26" fillId="0" borderId="15" xfId="0" applyFont="1" applyFill="1" applyBorder="1" applyAlignment="1">
      <alignment vertical="center" wrapText="1"/>
    </xf>
    <xf numFmtId="0" fontId="26" fillId="0" borderId="11" xfId="0" applyFont="1" applyFill="1" applyBorder="1" applyAlignment="1">
      <alignment horizontal="center" vertical="center"/>
    </xf>
    <xf numFmtId="0" fontId="26" fillId="0" borderId="11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horizontal="center" vertical="center" wrapText="1"/>
    </xf>
    <xf numFmtId="0" fontId="27" fillId="0" borderId="0" xfId="0" applyFont="1" applyFill="1" applyAlignment="1">
      <alignment vertical="center"/>
    </xf>
    <xf numFmtId="0" fontId="27" fillId="0" borderId="0" xfId="0" applyFont="1" applyFill="1" applyBorder="1" applyAlignment="1">
      <alignment vertical="center"/>
    </xf>
    <xf numFmtId="0" fontId="27" fillId="0" borderId="0" xfId="0" applyFont="1" applyFill="1" applyAlignment="1">
      <alignment horizontal="center" vertical="center"/>
    </xf>
    <xf numFmtId="0" fontId="27" fillId="0" borderId="0" xfId="0" applyFont="1" applyFill="1"/>
    <xf numFmtId="0" fontId="27" fillId="0" borderId="0" xfId="0" applyFont="1" applyFill="1" applyAlignment="1"/>
    <xf numFmtId="0" fontId="28" fillId="0" borderId="0" xfId="0" applyFont="1" applyFill="1"/>
    <xf numFmtId="0" fontId="29" fillId="0" borderId="21" xfId="0" applyFont="1" applyFill="1" applyBorder="1" applyAlignment="1">
      <alignment horizontal="center" vertical="justify"/>
    </xf>
    <xf numFmtId="0" fontId="29" fillId="0" borderId="1" xfId="0" applyFont="1" applyFill="1" applyBorder="1" applyAlignment="1">
      <alignment horizontal="center" vertical="justify"/>
    </xf>
    <xf numFmtId="0" fontId="29" fillId="0" borderId="1" xfId="0" applyFont="1" applyFill="1" applyBorder="1" applyAlignment="1">
      <alignment horizontal="center" vertical="justify" wrapText="1"/>
    </xf>
    <xf numFmtId="0" fontId="29" fillId="0" borderId="2" xfId="0" applyFont="1" applyFill="1" applyBorder="1" applyAlignment="1">
      <alignment horizontal="center" vertical="center" wrapText="1"/>
    </xf>
    <xf numFmtId="0" fontId="29" fillId="0" borderId="22" xfId="0" applyFont="1" applyFill="1" applyBorder="1" applyAlignment="1">
      <alignment horizontal="center" vertical="justify" readingOrder="1"/>
    </xf>
    <xf numFmtId="0" fontId="29" fillId="0" borderId="3" xfId="0" applyFont="1" applyFill="1" applyBorder="1" applyAlignment="1">
      <alignment horizontal="center" vertical="justify" wrapText="1" readingOrder="1"/>
    </xf>
    <xf numFmtId="0" fontId="29" fillId="0" borderId="3" xfId="0" applyFont="1" applyFill="1" applyBorder="1" applyAlignment="1">
      <alignment horizontal="center" vertical="justify" readingOrder="1"/>
    </xf>
    <xf numFmtId="0" fontId="29" fillId="0" borderId="3" xfId="0" applyFont="1" applyFill="1" applyBorder="1" applyAlignment="1">
      <alignment horizontal="center" vertical="justify"/>
    </xf>
    <xf numFmtId="0" fontId="29" fillId="0" borderId="3" xfId="0" applyFont="1" applyFill="1" applyBorder="1" applyAlignment="1">
      <alignment horizontal="center" vertical="justify" wrapText="1"/>
    </xf>
    <xf numFmtId="0" fontId="29" fillId="0" borderId="3" xfId="0" applyFont="1" applyFill="1" applyBorder="1" applyAlignment="1">
      <alignment horizontal="center" vertical="justify"/>
    </xf>
    <xf numFmtId="0" fontId="29" fillId="0" borderId="3" xfId="0" applyFont="1" applyFill="1" applyBorder="1" applyAlignment="1">
      <alignment horizontal="center" vertical="justify" wrapText="1"/>
    </xf>
    <xf numFmtId="0" fontId="29" fillId="0" borderId="4" xfId="0" applyFont="1" applyFill="1" applyBorder="1" applyAlignment="1">
      <alignment horizontal="center" vertical="center" wrapText="1"/>
    </xf>
    <xf numFmtId="0" fontId="30" fillId="0" borderId="22" xfId="0" applyFont="1" applyFill="1" applyBorder="1" applyAlignment="1">
      <alignment horizontal="center" vertical="center" readingOrder="1"/>
    </xf>
    <xf numFmtId="0" fontId="30" fillId="0" borderId="3" xfId="0" applyFont="1" applyFill="1" applyBorder="1" applyAlignment="1">
      <alignment horizontal="center" vertical="center" readingOrder="1"/>
    </xf>
    <xf numFmtId="0" fontId="30" fillId="0" borderId="4" xfId="0" applyFont="1" applyFill="1" applyBorder="1" applyAlignment="1">
      <alignment horizontal="center" vertical="center" readingOrder="1"/>
    </xf>
    <xf numFmtId="0" fontId="29" fillId="0" borderId="22" xfId="0" applyFont="1" applyFill="1" applyBorder="1" applyAlignment="1">
      <alignment horizontal="center" vertical="center"/>
    </xf>
    <xf numFmtId="0" fontId="31" fillId="0" borderId="3" xfId="0" applyFont="1" applyFill="1" applyBorder="1" applyAlignment="1">
      <alignment horizontal="center" vertical="center" wrapText="1"/>
    </xf>
    <xf numFmtId="0" fontId="31" fillId="0" borderId="3" xfId="0" applyFont="1" applyFill="1" applyBorder="1" applyAlignment="1">
      <alignment horizontal="center" vertical="center"/>
    </xf>
    <xf numFmtId="0" fontId="31" fillId="0" borderId="3" xfId="0" applyFont="1" applyFill="1" applyBorder="1" applyAlignment="1">
      <alignment horizontal="center" vertical="center" wrapText="1"/>
    </xf>
    <xf numFmtId="0" fontId="31" fillId="0" borderId="3" xfId="0" applyFont="1" applyFill="1" applyBorder="1" applyAlignment="1">
      <alignment horizontal="center" vertical="center"/>
    </xf>
    <xf numFmtId="9" fontId="31" fillId="0" borderId="3" xfId="0" applyNumberFormat="1" applyFont="1" applyFill="1" applyBorder="1" applyAlignment="1">
      <alignment horizontal="center" vertical="center"/>
    </xf>
    <xf numFmtId="0" fontId="31" fillId="0" borderId="4" xfId="0" applyFont="1" applyFill="1" applyBorder="1" applyAlignment="1">
      <alignment horizontal="center" vertical="center" wrapText="1"/>
    </xf>
    <xf numFmtId="0" fontId="31" fillId="0" borderId="4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horizontal="center" vertical="center" wrapText="1"/>
    </xf>
    <xf numFmtId="9" fontId="31" fillId="0" borderId="4" xfId="0" applyNumberFormat="1" applyFont="1" applyFill="1" applyBorder="1" applyAlignment="1">
      <alignment horizontal="center" vertical="center"/>
    </xf>
    <xf numFmtId="0" fontId="31" fillId="0" borderId="4" xfId="0" applyFont="1" applyFill="1" applyBorder="1" applyAlignment="1">
      <alignment horizontal="center" vertical="center" wrapText="1"/>
    </xf>
    <xf numFmtId="0" fontId="31" fillId="0" borderId="4" xfId="0" applyFont="1" applyFill="1" applyBorder="1" applyAlignment="1">
      <alignment vertical="center"/>
    </xf>
    <xf numFmtId="0" fontId="31" fillId="0" borderId="4" xfId="0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31" fillId="0" borderId="4" xfId="0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 vertical="center"/>
    </xf>
    <xf numFmtId="0" fontId="29" fillId="0" borderId="11" xfId="0" applyFont="1" applyFill="1" applyBorder="1" applyAlignment="1">
      <alignment horizontal="center" vertical="center"/>
    </xf>
    <xf numFmtId="0" fontId="29" fillId="0" borderId="11" xfId="0" applyFont="1" applyFill="1" applyBorder="1" applyAlignment="1">
      <alignment horizontal="center" vertical="center"/>
    </xf>
    <xf numFmtId="0" fontId="29" fillId="0" borderId="45" xfId="0" applyFont="1" applyFill="1" applyBorder="1" applyAlignment="1">
      <alignment horizontal="center" vertical="center"/>
    </xf>
    <xf numFmtId="0" fontId="29" fillId="0" borderId="25" xfId="0" applyFont="1" applyFill="1" applyBorder="1" applyAlignment="1">
      <alignment horizontal="center" vertical="center"/>
    </xf>
    <xf numFmtId="0" fontId="29" fillId="0" borderId="12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9" fillId="0" borderId="0" xfId="0" applyFont="1" applyFill="1" applyAlignment="1">
      <alignment vertical="center"/>
    </xf>
    <xf numFmtId="0" fontId="31" fillId="0" borderId="0" xfId="0" applyFont="1" applyFill="1" applyAlignment="1">
      <alignment vertical="center"/>
    </xf>
    <xf numFmtId="0" fontId="31" fillId="0" borderId="0" xfId="0" applyFont="1" applyFill="1"/>
    <xf numFmtId="0" fontId="31" fillId="0" borderId="0" xfId="0" applyFont="1" applyFill="1" applyAlignment="1">
      <alignment horizontal="center" vertical="center"/>
    </xf>
    <xf numFmtId="0" fontId="29" fillId="0" borderId="2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wrapText="1"/>
    </xf>
    <xf numFmtId="0" fontId="29" fillId="0" borderId="22" xfId="0" applyFont="1" applyFill="1" applyBorder="1" applyAlignment="1">
      <alignment horizontal="center" vertical="center" readingOrder="1"/>
    </xf>
    <xf numFmtId="0" fontId="29" fillId="0" borderId="3" xfId="0" applyFont="1" applyFill="1" applyBorder="1" applyAlignment="1">
      <alignment horizontal="center" vertical="center" wrapText="1" readingOrder="1"/>
    </xf>
    <xf numFmtId="0" fontId="29" fillId="0" borderId="3" xfId="0" applyFont="1" applyFill="1" applyBorder="1" applyAlignment="1">
      <alignment horizontal="center" vertical="center" readingOrder="1"/>
    </xf>
    <xf numFmtId="0" fontId="29" fillId="0" borderId="3" xfId="0" applyFont="1" applyFill="1" applyBorder="1" applyAlignment="1">
      <alignment horizontal="center" vertical="center"/>
    </xf>
    <xf numFmtId="0" fontId="29" fillId="0" borderId="3" xfId="0" applyFont="1" applyFill="1" applyBorder="1" applyAlignment="1">
      <alignment horizontal="center" vertical="center" wrapText="1"/>
    </xf>
    <xf numFmtId="0" fontId="32" fillId="0" borderId="3" xfId="0" applyFont="1" applyFill="1" applyBorder="1" applyAlignment="1">
      <alignment horizontal="center" vertical="center"/>
    </xf>
    <xf numFmtId="0" fontId="29" fillId="0" borderId="3" xfId="0" applyFont="1" applyFill="1" applyBorder="1" applyAlignment="1">
      <alignment horizontal="center" vertical="center" wrapText="1"/>
    </xf>
    <xf numFmtId="9" fontId="31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 wrapText="1"/>
    </xf>
    <xf numFmtId="0" fontId="33" fillId="0" borderId="25" xfId="0" applyFont="1" applyFill="1" applyBorder="1" applyAlignment="1">
      <alignment horizontal="center" vertical="center" wrapText="1"/>
    </xf>
    <xf numFmtId="0" fontId="33" fillId="0" borderId="11" xfId="0" applyFont="1" applyFill="1" applyBorder="1" applyAlignment="1">
      <alignment horizontal="center" vertical="center" wrapText="1"/>
    </xf>
    <xf numFmtId="0" fontId="33" fillId="0" borderId="11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34" fillId="0" borderId="9" xfId="0" applyFont="1" applyFill="1" applyBorder="1" applyAlignment="1">
      <alignment horizontal="center" vertical="center" wrapText="1"/>
    </xf>
    <xf numFmtId="0" fontId="34" fillId="0" borderId="10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35" fillId="0" borderId="46" xfId="0" applyFont="1" applyBorder="1" applyAlignment="1">
      <alignment horizontal="center" vertical="center" wrapText="1"/>
    </xf>
    <xf numFmtId="0" fontId="35" fillId="0" borderId="21" xfId="0" applyFont="1" applyBorder="1" applyAlignment="1">
      <alignment horizontal="center" vertical="center" wrapText="1"/>
    </xf>
    <xf numFmtId="0" fontId="35" fillId="0" borderId="44" xfId="0" applyFont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9" fontId="14" fillId="0" borderId="1" xfId="0" applyNumberFormat="1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48" xfId="0" applyFont="1" applyBorder="1" applyAlignment="1">
      <alignment horizontal="center" vertical="center" wrapText="1"/>
    </xf>
    <xf numFmtId="0" fontId="35" fillId="0" borderId="11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9" fontId="14" fillId="0" borderId="11" xfId="0" applyNumberFormat="1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14" fillId="0" borderId="26" xfId="0" applyFont="1" applyFill="1" applyBorder="1" applyAlignment="1">
      <alignment horizontal="center" vertical="center" wrapText="1"/>
    </xf>
    <xf numFmtId="0" fontId="35" fillId="0" borderId="49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14" fillId="0" borderId="28" xfId="0" applyFont="1" applyFill="1" applyBorder="1" applyAlignment="1">
      <alignment horizontal="center" vertical="center" wrapText="1"/>
    </xf>
    <xf numFmtId="0" fontId="14" fillId="0" borderId="31" xfId="0" applyFont="1" applyFill="1" applyBorder="1" applyAlignment="1">
      <alignment horizontal="center" vertical="center" wrapText="1"/>
    </xf>
    <xf numFmtId="0" fontId="35" fillId="0" borderId="15" xfId="0" applyFont="1" applyFill="1" applyBorder="1" applyAlignment="1">
      <alignment horizontal="center" vertical="center" wrapText="1"/>
    </xf>
    <xf numFmtId="9" fontId="14" fillId="0" borderId="15" xfId="0" applyNumberFormat="1" applyFont="1" applyFill="1" applyBorder="1" applyAlignment="1">
      <alignment horizontal="center" vertical="center" wrapText="1"/>
    </xf>
    <xf numFmtId="0" fontId="14" fillId="0" borderId="32" xfId="0" applyFont="1" applyFill="1" applyBorder="1" applyAlignment="1">
      <alignment horizontal="center" vertical="center" wrapText="1"/>
    </xf>
    <xf numFmtId="0" fontId="14" fillId="0" borderId="30" xfId="0" applyFont="1" applyFill="1" applyBorder="1" applyAlignment="1">
      <alignment horizontal="center" vertical="center" wrapText="1"/>
    </xf>
    <xf numFmtId="0" fontId="35" fillId="0" borderId="48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0" borderId="30" xfId="0" applyFont="1" applyFill="1" applyBorder="1" applyAlignment="1">
      <alignment horizontal="center" vertical="center" wrapText="1"/>
    </xf>
    <xf numFmtId="9" fontId="14" fillId="0" borderId="30" xfId="0" applyNumberFormat="1" applyFont="1" applyFill="1" applyBorder="1" applyAlignment="1">
      <alignment horizontal="center" vertical="center" wrapText="1"/>
    </xf>
    <xf numFmtId="0" fontId="14" fillId="0" borderId="24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51" xfId="0" applyFont="1" applyFill="1" applyBorder="1" applyAlignment="1">
      <alignment horizontal="center" vertical="center" wrapText="1"/>
    </xf>
    <xf numFmtId="0" fontId="36" fillId="0" borderId="52" xfId="0" applyFont="1" applyBorder="1" applyAlignment="1">
      <alignment vertical="center" wrapText="1"/>
    </xf>
    <xf numFmtId="0" fontId="35" fillId="0" borderId="24" xfId="0" applyFont="1" applyFill="1" applyBorder="1" applyAlignment="1">
      <alignment horizontal="center" vertical="center" wrapText="1"/>
    </xf>
    <xf numFmtId="0" fontId="14" fillId="0" borderId="25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36" fillId="0" borderId="53" xfId="0" applyFont="1" applyBorder="1" applyAlignment="1">
      <alignment vertical="center" wrapText="1"/>
    </xf>
    <xf numFmtId="0" fontId="35" fillId="0" borderId="25" xfId="0" applyFont="1" applyFill="1" applyBorder="1" applyAlignment="1">
      <alignment horizontal="center" vertical="center" wrapText="1"/>
    </xf>
    <xf numFmtId="0" fontId="34" fillId="0" borderId="54" xfId="0" applyFont="1" applyFill="1" applyBorder="1" applyAlignment="1">
      <alignment horizontal="center" vertical="center" wrapText="1"/>
    </xf>
    <xf numFmtId="0" fontId="34" fillId="0" borderId="30" xfId="0" applyFont="1" applyFill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 wrapText="1"/>
    </xf>
    <xf numFmtId="0" fontId="14" fillId="0" borderId="36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/>
    </xf>
    <xf numFmtId="0" fontId="14" fillId="0" borderId="38" xfId="0" applyFont="1" applyFill="1" applyBorder="1" applyAlignment="1">
      <alignment horizontal="center" vertical="center" wrapText="1"/>
    </xf>
    <xf numFmtId="0" fontId="35" fillId="0" borderId="10" xfId="0" applyFont="1" applyFill="1" applyBorder="1" applyAlignment="1">
      <alignment horizontal="center" vertical="center" wrapText="1"/>
    </xf>
    <xf numFmtId="9" fontId="14" fillId="0" borderId="10" xfId="0" applyNumberFormat="1" applyFont="1" applyFill="1" applyBorder="1" applyAlignment="1">
      <alignment horizontal="center" vertical="center" wrapText="1"/>
    </xf>
    <xf numFmtId="0" fontId="14" fillId="0" borderId="37" xfId="0" applyFont="1" applyFill="1" applyBorder="1" applyAlignment="1">
      <alignment horizontal="center" vertical="center" wrapText="1"/>
    </xf>
    <xf numFmtId="0" fontId="14" fillId="0" borderId="56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5" fillId="0" borderId="3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57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30" fillId="0" borderId="9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13" fillId="0" borderId="29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 wrapText="1"/>
    </xf>
    <xf numFmtId="9" fontId="13" fillId="0" borderId="1" xfId="0" applyNumberFormat="1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37" fillId="0" borderId="11" xfId="0" applyFont="1" applyFill="1" applyBorder="1" applyAlignment="1">
      <alignment horizontal="center" vertical="center" wrapText="1"/>
    </xf>
    <xf numFmtId="9" fontId="13" fillId="0" borderId="11" xfId="0" applyNumberFormat="1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3" fillId="0" borderId="31" xfId="0" applyFont="1" applyFill="1" applyBorder="1" applyAlignment="1">
      <alignment horizontal="center" vertical="center" wrapText="1"/>
    </xf>
    <xf numFmtId="0" fontId="13" fillId="0" borderId="15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38" xfId="0" applyFont="1" applyFill="1" applyBorder="1" applyAlignment="1">
      <alignment horizontal="center" vertical="center" wrapText="1"/>
    </xf>
    <xf numFmtId="0" fontId="37" fillId="0" borderId="10" xfId="0" applyFont="1" applyFill="1" applyBorder="1" applyAlignment="1">
      <alignment horizontal="center" vertical="center" wrapText="1"/>
    </xf>
    <xf numFmtId="9" fontId="13" fillId="0" borderId="10" xfId="0" applyNumberFormat="1" applyFont="1" applyFill="1" applyBorder="1" applyAlignment="1">
      <alignment horizontal="center" vertical="center" wrapText="1"/>
    </xf>
    <xf numFmtId="0" fontId="13" fillId="0" borderId="37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37" fillId="0" borderId="30" xfId="0" applyFont="1" applyFill="1" applyBorder="1" applyAlignment="1">
      <alignment horizontal="center" vertical="center" wrapText="1"/>
    </xf>
    <xf numFmtId="9" fontId="13" fillId="0" borderId="30" xfId="0" applyNumberFormat="1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0" xfId="0" applyFont="1" applyFill="1" applyBorder="1" applyAlignment="1">
      <alignment horizontal="center" vertical="center" wrapText="1"/>
    </xf>
    <xf numFmtId="0" fontId="37" fillId="0" borderId="6" xfId="0" applyFont="1" applyFill="1" applyBorder="1" applyAlignment="1">
      <alignment horizontal="center" vertical="center" wrapText="1"/>
    </xf>
    <xf numFmtId="9" fontId="13" fillId="0" borderId="6" xfId="0" applyNumberFormat="1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3" fillId="0" borderId="13" xfId="0" applyFont="1" applyFill="1" applyBorder="1" applyAlignment="1">
      <alignment horizontal="center" vertical="center" wrapText="1"/>
    </xf>
    <xf numFmtId="0" fontId="37" fillId="0" borderId="15" xfId="0" applyFont="1" applyFill="1" applyBorder="1" applyAlignment="1">
      <alignment horizontal="center" vertical="center" wrapText="1"/>
    </xf>
    <xf numFmtId="9" fontId="13" fillId="0" borderId="15" xfId="0" applyNumberFormat="1" applyFont="1" applyFill="1" applyBorder="1" applyAlignment="1">
      <alignment horizontal="center" vertical="center" wrapText="1"/>
    </xf>
    <xf numFmtId="0" fontId="13" fillId="0" borderId="32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3" fillId="0" borderId="2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13" fillId="0" borderId="15" xfId="0" applyFont="1" applyFill="1" applyBorder="1" applyAlignment="1">
      <alignment horizontal="center" vertical="center" wrapText="1"/>
    </xf>
    <xf numFmtId="0" fontId="30" fillId="0" borderId="54" xfId="0" applyFont="1" applyFill="1" applyBorder="1" applyAlignment="1">
      <alignment horizontal="center" vertical="center" wrapText="1"/>
    </xf>
    <xf numFmtId="0" fontId="30" fillId="0" borderId="30" xfId="0" applyFont="1" applyFill="1" applyBorder="1" applyAlignment="1">
      <alignment horizontal="center" vertical="center" wrapText="1"/>
    </xf>
    <xf numFmtId="0" fontId="13" fillId="0" borderId="24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>
      <alignment horizontal="center" vertical="center" wrapText="1"/>
    </xf>
    <xf numFmtId="0" fontId="13" fillId="0" borderId="25" xfId="0" applyFont="1" applyFill="1" applyBorder="1" applyAlignment="1">
      <alignment horizontal="center" vertical="center" wrapText="1"/>
    </xf>
    <xf numFmtId="0" fontId="6" fillId="0" borderId="3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57" xfId="0" applyFont="1" applyFill="1" applyBorder="1" applyAlignment="1">
      <alignment horizontal="center" vertical="center" wrapText="1"/>
    </xf>
    <xf numFmtId="0" fontId="25" fillId="0" borderId="0" xfId="0" applyFont="1" applyFill="1" applyBorder="1"/>
    <xf numFmtId="0" fontId="25" fillId="0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horizontal="center" vertical="center"/>
    </xf>
    <xf numFmtId="0" fontId="33" fillId="0" borderId="39" xfId="0" applyFont="1" applyFill="1" applyBorder="1" applyAlignment="1">
      <alignment horizontal="center" vertical="center"/>
    </xf>
    <xf numFmtId="0" fontId="33" fillId="0" borderId="40" xfId="0" applyFont="1" applyFill="1" applyBorder="1" applyAlignment="1">
      <alignment horizontal="center" vertical="center"/>
    </xf>
    <xf numFmtId="0" fontId="33" fillId="0" borderId="24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wrapText="1"/>
    </xf>
    <xf numFmtId="0" fontId="33" fillId="0" borderId="2" xfId="0" applyFont="1" applyFill="1" applyBorder="1" applyAlignment="1">
      <alignment horizontal="center" vertical="center" wrapText="1"/>
    </xf>
    <xf numFmtId="0" fontId="33" fillId="0" borderId="22" xfId="0" applyFont="1" applyFill="1" applyBorder="1" applyAlignment="1">
      <alignment horizontal="center" vertical="center" wrapText="1" readingOrder="1"/>
    </xf>
    <xf numFmtId="0" fontId="33" fillId="0" borderId="3" xfId="0" applyFont="1" applyFill="1" applyBorder="1" applyAlignment="1">
      <alignment horizontal="center" vertical="center" wrapText="1" readingOrder="1"/>
    </xf>
    <xf numFmtId="0" fontId="33" fillId="0" borderId="3" xfId="0" applyFont="1" applyFill="1" applyBorder="1" applyAlignment="1">
      <alignment horizontal="center" vertical="center"/>
    </xf>
    <xf numFmtId="0" fontId="33" fillId="0" borderId="3" xfId="0" applyFont="1" applyFill="1" applyBorder="1" applyAlignment="1">
      <alignment horizontal="center" vertical="center" wrapText="1"/>
    </xf>
    <xf numFmtId="0" fontId="33" fillId="0" borderId="3" xfId="0" applyFont="1" applyFill="1" applyBorder="1" applyAlignment="1">
      <alignment horizontal="center" vertical="center" wrapText="1"/>
    </xf>
    <xf numFmtId="0" fontId="33" fillId="0" borderId="3" xfId="0" applyFont="1" applyFill="1" applyBorder="1" applyAlignment="1">
      <alignment horizontal="center"/>
    </xf>
    <xf numFmtId="0" fontId="33" fillId="0" borderId="4" xfId="0" applyFont="1" applyFill="1" applyBorder="1" applyAlignment="1">
      <alignment horizontal="center" vertical="center" wrapText="1"/>
    </xf>
    <xf numFmtId="0" fontId="34" fillId="0" borderId="22" xfId="0" applyFont="1" applyFill="1" applyBorder="1" applyAlignment="1">
      <alignment horizontal="center" vertical="center" readingOrder="1"/>
    </xf>
    <xf numFmtId="0" fontId="34" fillId="0" borderId="3" xfId="0" applyFont="1" applyFill="1" applyBorder="1" applyAlignment="1">
      <alignment horizontal="center" vertical="center" readingOrder="1"/>
    </xf>
    <xf numFmtId="0" fontId="34" fillId="0" borderId="4" xfId="0" applyFont="1" applyFill="1" applyBorder="1" applyAlignment="1">
      <alignment horizontal="center" vertical="center" readingOrder="1"/>
    </xf>
    <xf numFmtId="0" fontId="35" fillId="0" borderId="22" xfId="0" applyFont="1" applyFill="1" applyBorder="1" applyAlignment="1">
      <alignment horizontal="center" vertical="justify" wrapText="1"/>
    </xf>
    <xf numFmtId="0" fontId="35" fillId="0" borderId="3" xfId="0" applyFont="1" applyFill="1" applyBorder="1" applyAlignment="1">
      <alignment horizontal="center" vertical="justify"/>
    </xf>
    <xf numFmtId="0" fontId="35" fillId="0" borderId="3" xfId="0" applyFont="1" applyFill="1" applyBorder="1" applyAlignment="1">
      <alignment horizontal="center" vertical="justify"/>
    </xf>
    <xf numFmtId="0" fontId="35" fillId="0" borderId="3" xfId="0" applyFont="1" applyFill="1" applyBorder="1" applyAlignment="1">
      <alignment horizontal="center" vertical="justify" wrapText="1"/>
    </xf>
    <xf numFmtId="9" fontId="35" fillId="0" borderId="3" xfId="0" applyNumberFormat="1" applyFont="1" applyFill="1" applyBorder="1" applyAlignment="1">
      <alignment vertical="justify"/>
    </xf>
    <xf numFmtId="0" fontId="35" fillId="0" borderId="4" xfId="0" applyFont="1" applyFill="1" applyBorder="1" applyAlignment="1">
      <alignment horizontal="center" vertical="justify" wrapText="1"/>
    </xf>
    <xf numFmtId="0" fontId="34" fillId="0" borderId="22" xfId="0" applyFont="1" applyFill="1" applyBorder="1" applyAlignment="1">
      <alignment horizontal="center" vertical="justify" readingOrder="1"/>
    </xf>
    <xf numFmtId="0" fontId="34" fillId="0" borderId="3" xfId="0" applyFont="1" applyFill="1" applyBorder="1" applyAlignment="1">
      <alignment horizontal="center" vertical="justify" readingOrder="1"/>
    </xf>
    <xf numFmtId="0" fontId="34" fillId="0" borderId="4" xfId="0" applyFont="1" applyFill="1" applyBorder="1" applyAlignment="1">
      <alignment horizontal="center" vertical="justify" readingOrder="1"/>
    </xf>
    <xf numFmtId="0" fontId="35" fillId="0" borderId="22" xfId="0" applyFont="1" applyFill="1" applyBorder="1" applyAlignment="1">
      <alignment horizontal="center" vertical="justify"/>
    </xf>
    <xf numFmtId="0" fontId="35" fillId="0" borderId="3" xfId="0" applyFont="1" applyFill="1" applyBorder="1" applyAlignment="1">
      <alignment horizontal="center" vertical="justify" wrapText="1"/>
    </xf>
    <xf numFmtId="9" fontId="35" fillId="0" borderId="3" xfId="0" applyNumberFormat="1" applyFont="1" applyFill="1" applyBorder="1" applyAlignment="1">
      <alignment horizontal="center" vertical="justify"/>
    </xf>
    <xf numFmtId="0" fontId="35" fillId="0" borderId="22" xfId="0" applyFont="1" applyFill="1" applyBorder="1" applyAlignment="1">
      <alignment horizontal="center" vertical="center" wrapText="1"/>
    </xf>
    <xf numFmtId="0" fontId="35" fillId="0" borderId="3" xfId="0" applyFont="1" applyFill="1" applyBorder="1" applyAlignment="1">
      <alignment horizontal="center" vertical="center"/>
    </xf>
    <xf numFmtId="0" fontId="35" fillId="0" borderId="3" xfId="0" applyFont="1" applyFill="1" applyBorder="1" applyAlignment="1">
      <alignment horizontal="center" vertical="center"/>
    </xf>
    <xf numFmtId="9" fontId="35" fillId="0" borderId="3" xfId="0" applyNumberFormat="1" applyFont="1" applyFill="1" applyBorder="1" applyAlignment="1">
      <alignment horizontal="center" vertical="center"/>
    </xf>
    <xf numFmtId="9" fontId="35" fillId="0" borderId="3" xfId="0" applyNumberFormat="1" applyFont="1" applyFill="1" applyBorder="1"/>
    <xf numFmtId="0" fontId="35" fillId="0" borderId="4" xfId="0" applyFont="1" applyFill="1" applyBorder="1" applyAlignment="1">
      <alignment horizontal="center" vertical="center" wrapText="1"/>
    </xf>
    <xf numFmtId="0" fontId="35" fillId="0" borderId="3" xfId="0" applyFont="1" applyFill="1" applyBorder="1" applyAlignment="1">
      <alignment horizontal="center" vertical="center" wrapText="1"/>
    </xf>
    <xf numFmtId="0" fontId="34" fillId="0" borderId="3" xfId="0" applyFont="1" applyFill="1" applyBorder="1" applyAlignment="1">
      <alignment horizontal="center" vertical="center" readingOrder="1"/>
    </xf>
    <xf numFmtId="0" fontId="35" fillId="0" borderId="3" xfId="0" applyFont="1" applyFill="1" applyBorder="1" applyAlignment="1">
      <alignment horizontal="center" vertical="center" wrapText="1"/>
    </xf>
    <xf numFmtId="0" fontId="35" fillId="0" borderId="22" xfId="0" applyFont="1" applyFill="1" applyBorder="1" applyAlignment="1">
      <alignment horizontal="center" vertical="center" readingOrder="1"/>
    </xf>
    <xf numFmtId="0" fontId="35" fillId="0" borderId="3" xfId="0" applyFont="1" applyFill="1" applyBorder="1" applyAlignment="1">
      <alignment horizontal="center" vertical="center" wrapText="1" readingOrder="1"/>
    </xf>
    <xf numFmtId="0" fontId="35" fillId="0" borderId="3" xfId="0" applyFont="1" applyFill="1" applyBorder="1" applyAlignment="1">
      <alignment horizontal="center" vertical="center" readingOrder="1"/>
    </xf>
    <xf numFmtId="0" fontId="35" fillId="0" borderId="3" xfId="0" applyFont="1" applyFill="1" applyBorder="1" applyAlignment="1">
      <alignment horizontal="center" vertical="center" readingOrder="1"/>
    </xf>
    <xf numFmtId="0" fontId="34" fillId="0" borderId="4" xfId="0" applyFont="1" applyFill="1" applyBorder="1" applyAlignment="1">
      <alignment horizontal="center" vertical="center" readingOrder="1"/>
    </xf>
    <xf numFmtId="0" fontId="35" fillId="0" borderId="4" xfId="0" applyFont="1" applyFill="1" applyBorder="1" applyAlignment="1">
      <alignment vertical="center" wrapText="1"/>
    </xf>
    <xf numFmtId="0" fontId="35" fillId="0" borderId="22" xfId="0" applyFont="1" applyFill="1" applyBorder="1" applyAlignment="1">
      <alignment horizontal="center" vertical="center"/>
    </xf>
    <xf numFmtId="0" fontId="35" fillId="0" borderId="3" xfId="0" applyFont="1" applyFill="1" applyBorder="1" applyAlignment="1">
      <alignment vertical="center" wrapText="1"/>
    </xf>
    <xf numFmtId="0" fontId="35" fillId="0" borderId="3" xfId="0" applyFont="1" applyFill="1" applyBorder="1" applyAlignment="1">
      <alignment horizontal="center"/>
    </xf>
    <xf numFmtId="0" fontId="35" fillId="0" borderId="3" xfId="0" applyFont="1" applyFill="1" applyBorder="1" applyAlignment="1">
      <alignment vertical="center"/>
    </xf>
    <xf numFmtId="0" fontId="35" fillId="0" borderId="4" xfId="0" applyFont="1" applyFill="1" applyBorder="1" applyAlignment="1">
      <alignment horizontal="center" vertical="center"/>
    </xf>
    <xf numFmtId="0" fontId="33" fillId="0" borderId="23" xfId="0" applyFont="1" applyFill="1" applyBorder="1" applyAlignment="1">
      <alignment horizontal="center" vertical="center"/>
    </xf>
    <xf numFmtId="0" fontId="33" fillId="0" borderId="11" xfId="0" applyFont="1" applyFill="1" applyBorder="1" applyAlignment="1">
      <alignment horizontal="center" vertical="center"/>
    </xf>
    <xf numFmtId="0" fontId="33" fillId="0" borderId="11" xfId="0" applyFont="1" applyFill="1" applyBorder="1" applyAlignment="1">
      <alignment horizontal="center" vertical="center"/>
    </xf>
    <xf numFmtId="0" fontId="33" fillId="0" borderId="1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center" vertical="center"/>
    </xf>
    <xf numFmtId="0" fontId="38" fillId="0" borderId="0" xfId="0" applyFont="1" applyFill="1" applyAlignment="1">
      <alignment horizontal="center"/>
    </xf>
    <xf numFmtId="0" fontId="38" fillId="0" borderId="0" xfId="0" applyFont="1" applyFill="1" applyAlignment="1"/>
    <xf numFmtId="0" fontId="38" fillId="0" borderId="0" xfId="0" applyFont="1" applyFill="1" applyAlignment="1">
      <alignment vertical="center"/>
    </xf>
    <xf numFmtId="0" fontId="39" fillId="0" borderId="0" xfId="0" applyFont="1" applyFill="1" applyAlignment="1">
      <alignment vertical="center"/>
    </xf>
    <xf numFmtId="0" fontId="38" fillId="0" borderId="0" xfId="0" applyFont="1" applyFill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wrapText="1"/>
    </xf>
    <xf numFmtId="0" fontId="7" fillId="0" borderId="22" xfId="0" applyFont="1" applyFill="1" applyBorder="1" applyAlignment="1">
      <alignment horizontal="center" vertical="center" readingOrder="1"/>
    </xf>
    <xf numFmtId="0" fontId="7" fillId="0" borderId="3" xfId="0" applyFont="1" applyFill="1" applyBorder="1" applyAlignment="1">
      <alignment horizontal="center" vertical="center" wrapText="1" readingOrder="1"/>
    </xf>
    <xf numFmtId="0" fontId="7" fillId="0" borderId="3" xfId="0" applyFont="1" applyFill="1" applyBorder="1" applyAlignment="1">
      <alignment horizontal="center" vertical="center" readingOrder="1"/>
    </xf>
    <xf numFmtId="0" fontId="7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30" fillId="0" borderId="22" xfId="0" applyFont="1" applyFill="1" applyBorder="1" applyAlignment="1">
      <alignment horizontal="center" vertical="center" readingOrder="1"/>
    </xf>
    <xf numFmtId="0" fontId="30" fillId="0" borderId="3" xfId="0" applyFont="1" applyFill="1" applyBorder="1" applyAlignment="1">
      <alignment horizontal="center" vertical="center" readingOrder="1"/>
    </xf>
    <xf numFmtId="0" fontId="13" fillId="0" borderId="3" xfId="0" applyFont="1" applyBorder="1"/>
    <xf numFmtId="0" fontId="30" fillId="0" borderId="4" xfId="0" applyFont="1" applyFill="1" applyBorder="1" applyAlignment="1">
      <alignment horizontal="center" vertical="center" readingOrder="1"/>
    </xf>
    <xf numFmtId="0" fontId="13" fillId="0" borderId="22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37" fillId="0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9" fontId="13" fillId="0" borderId="3" xfId="0" applyNumberFormat="1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13" fillId="0" borderId="22" xfId="0" applyFont="1" applyFill="1" applyBorder="1" applyAlignment="1">
      <alignment horizontal="center" vertical="center" wrapText="1"/>
    </xf>
    <xf numFmtId="0" fontId="13" fillId="0" borderId="22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6" fillId="0" borderId="23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38" fillId="0" borderId="0" xfId="0" applyFont="1" applyFill="1"/>
    <xf numFmtId="0" fontId="6" fillId="0" borderId="0" xfId="0" applyFont="1" applyFill="1" applyAlignment="1">
      <alignment vertical="center"/>
    </xf>
    <xf numFmtId="0" fontId="13" fillId="0" borderId="22" xfId="0" applyFont="1" applyFill="1" applyBorder="1" applyAlignment="1">
      <alignment horizontal="center" vertical="justify"/>
    </xf>
    <xf numFmtId="0" fontId="13" fillId="0" borderId="3" xfId="0" applyFont="1" applyFill="1" applyBorder="1" applyAlignment="1">
      <alignment horizontal="center" vertical="justify" wrapText="1"/>
    </xf>
    <xf numFmtId="0" fontId="13" fillId="0" borderId="3" xfId="0" applyFont="1" applyFill="1" applyBorder="1" applyAlignment="1">
      <alignment horizontal="center" vertical="justify"/>
    </xf>
    <xf numFmtId="0" fontId="13" fillId="0" borderId="3" xfId="0" applyFont="1" applyFill="1" applyBorder="1" applyAlignment="1">
      <alignment horizontal="center" vertical="justify" wrapText="1"/>
    </xf>
    <xf numFmtId="0" fontId="37" fillId="0" borderId="3" xfId="0" applyFont="1" applyFill="1" applyBorder="1" applyAlignment="1">
      <alignment horizontal="center" vertical="justify"/>
    </xf>
    <xf numFmtId="0" fontId="13" fillId="0" borderId="3" xfId="0" applyFont="1" applyFill="1" applyBorder="1" applyAlignment="1">
      <alignment horizontal="center" vertical="justify"/>
    </xf>
    <xf numFmtId="9" fontId="13" fillId="0" borderId="3" xfId="0" applyNumberFormat="1" applyFont="1" applyFill="1" applyBorder="1" applyAlignment="1">
      <alignment horizontal="center" vertical="justify"/>
    </xf>
    <xf numFmtId="0" fontId="13" fillId="0" borderId="4" xfId="0" applyFont="1" applyFill="1" applyBorder="1" applyAlignment="1">
      <alignment horizontal="center" vertical="justify" wrapText="1"/>
    </xf>
    <xf numFmtId="0" fontId="30" fillId="0" borderId="22" xfId="0" applyFont="1" applyFill="1" applyBorder="1" applyAlignment="1">
      <alignment horizontal="center" vertical="justify" readingOrder="1"/>
    </xf>
    <xf numFmtId="0" fontId="30" fillId="0" borderId="3" xfId="0" applyFont="1" applyFill="1" applyBorder="1" applyAlignment="1">
      <alignment horizontal="center" vertical="justify" readingOrder="1"/>
    </xf>
    <xf numFmtId="0" fontId="30" fillId="0" borderId="4" xfId="0" applyFont="1" applyFill="1" applyBorder="1" applyAlignment="1">
      <alignment horizontal="center" vertical="justify" readingOrder="1"/>
    </xf>
    <xf numFmtId="0" fontId="40" fillId="0" borderId="3" xfId="0" applyFont="1" applyBorder="1" applyAlignment="1">
      <alignment horizontal="center" vertical="justify" wrapText="1"/>
    </xf>
    <xf numFmtId="0" fontId="42" fillId="0" borderId="3" xfId="0" applyFont="1" applyBorder="1" applyAlignment="1">
      <alignment horizontal="center" vertical="justify" wrapText="1"/>
    </xf>
    <xf numFmtId="0" fontId="13" fillId="0" borderId="22" xfId="0" applyFont="1" applyFill="1" applyBorder="1" applyAlignment="1">
      <alignment horizontal="center" vertical="justify" wrapText="1"/>
    </xf>
    <xf numFmtId="0" fontId="13" fillId="0" borderId="22" xfId="0" applyFont="1" applyFill="1" applyBorder="1" applyAlignment="1">
      <alignment vertical="justify" wrapText="1"/>
    </xf>
    <xf numFmtId="0" fontId="13" fillId="0" borderId="4" xfId="0" applyFont="1" applyFill="1" applyBorder="1" applyAlignment="1">
      <alignment horizontal="center" vertical="justify" wrapText="1"/>
    </xf>
    <xf numFmtId="0" fontId="13" fillId="0" borderId="22" xfId="0" applyFont="1" applyFill="1" applyBorder="1" applyAlignment="1">
      <alignment vertical="justify" readingOrder="1"/>
    </xf>
    <xf numFmtId="0" fontId="13" fillId="0" borderId="3" xfId="0" applyFont="1" applyFill="1" applyBorder="1" applyAlignment="1">
      <alignment horizontal="center" vertical="justify" wrapText="1" readingOrder="1"/>
    </xf>
    <xf numFmtId="0" fontId="13" fillId="0" borderId="3" xfId="0" applyFont="1" applyFill="1" applyBorder="1" applyAlignment="1">
      <alignment horizontal="center" vertical="justify" readingOrder="1"/>
    </xf>
    <xf numFmtId="0" fontId="13" fillId="0" borderId="3" xfId="0" applyFont="1" applyBorder="1" applyAlignment="1">
      <alignment horizontal="center" vertical="justify" wrapText="1"/>
    </xf>
    <xf numFmtId="0" fontId="13" fillId="0" borderId="0" xfId="0" applyFont="1" applyFill="1" applyAlignment="1">
      <alignment horizontal="center"/>
    </xf>
    <xf numFmtId="0" fontId="13" fillId="0" borderId="0" xfId="0" applyFont="1" applyFill="1" applyAlignment="1"/>
    <xf numFmtId="0" fontId="13" fillId="0" borderId="0" xfId="0" applyFont="1" applyFill="1" applyAlignment="1">
      <alignment vertical="center"/>
    </xf>
    <xf numFmtId="0" fontId="13" fillId="0" borderId="0" xfId="0" applyFont="1" applyFill="1"/>
    <xf numFmtId="0" fontId="13" fillId="0" borderId="0" xfId="0" applyFont="1" applyFill="1" applyAlignment="1">
      <alignment horizontal="center" vertical="center"/>
    </xf>
    <xf numFmtId="0" fontId="13" fillId="0" borderId="23" xfId="0" applyFont="1" applyFill="1" applyBorder="1" applyAlignment="1">
      <alignment vertical="center"/>
    </xf>
    <xf numFmtId="0" fontId="7" fillId="0" borderId="11" xfId="0" applyFont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37" fillId="0" borderId="11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vertical="center"/>
    </xf>
    <xf numFmtId="0" fontId="13" fillId="0" borderId="11" xfId="0" applyFont="1" applyFill="1" applyBorder="1"/>
    <xf numFmtId="0" fontId="13" fillId="0" borderId="12" xfId="0" applyFont="1" applyFill="1" applyBorder="1" applyAlignment="1">
      <alignment vertical="center" wrapText="1"/>
    </xf>
    <xf numFmtId="0" fontId="39" fillId="0" borderId="0" xfId="0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vertical="center"/>
    </xf>
    <xf numFmtId="0" fontId="39" fillId="0" borderId="0" xfId="0" applyFont="1" applyFill="1" applyAlignment="1">
      <alignment horizontal="center" vertical="center"/>
    </xf>
    <xf numFmtId="0" fontId="39" fillId="0" borderId="0" xfId="0" applyFont="1" applyFill="1"/>
    <xf numFmtId="0" fontId="39" fillId="0" borderId="0" xfId="0" applyFont="1" applyFill="1" applyAlignment="1"/>
    <xf numFmtId="0" fontId="0" fillId="0" borderId="0" xfId="0" applyAlignment="1">
      <alignment wrapText="1"/>
    </xf>
    <xf numFmtId="0" fontId="39" fillId="0" borderId="0" xfId="0" applyFont="1" applyFill="1" applyAlignment="1">
      <alignment horizontal="center" vertical="center" wrapText="1"/>
    </xf>
    <xf numFmtId="0" fontId="6" fillId="0" borderId="0" xfId="0" applyFont="1" applyFill="1" applyAlignment="1"/>
    <xf numFmtId="0" fontId="5" fillId="0" borderId="40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3" fillId="0" borderId="25" xfId="0" applyFont="1" applyFill="1" applyBorder="1" applyAlignment="1">
      <alignment horizontal="center" vertical="center" wrapText="1" readingOrder="1"/>
    </xf>
    <xf numFmtId="0" fontId="33" fillId="0" borderId="11" xfId="0" applyFont="1" applyFill="1" applyBorder="1" applyAlignment="1">
      <alignment horizontal="center" vertical="center" wrapText="1" readingOrder="1"/>
    </xf>
    <xf numFmtId="0" fontId="33" fillId="0" borderId="11" xfId="0" applyFont="1" applyFill="1" applyBorder="1" applyAlignment="1">
      <alignment horizontal="center" vertical="justify" readingOrder="1"/>
    </xf>
    <xf numFmtId="0" fontId="5" fillId="0" borderId="11" xfId="0" applyFont="1" applyFill="1" applyBorder="1" applyAlignment="1">
      <alignment horizontal="center"/>
    </xf>
    <xf numFmtId="0" fontId="34" fillId="0" borderId="9" xfId="0" applyFont="1" applyFill="1" applyBorder="1" applyAlignment="1">
      <alignment horizontal="center" vertical="center" readingOrder="1"/>
    </xf>
    <xf numFmtId="0" fontId="34" fillId="0" borderId="10" xfId="0" applyFont="1" applyFill="1" applyBorder="1" applyAlignment="1">
      <alignment horizontal="center" vertical="center" readingOrder="1"/>
    </xf>
    <xf numFmtId="0" fontId="14" fillId="0" borderId="44" xfId="0" applyFont="1" applyFill="1" applyBorder="1" applyAlignment="1">
      <alignment horizontal="center" vertical="center"/>
    </xf>
    <xf numFmtId="0" fontId="14" fillId="0" borderId="36" xfId="0" applyFont="1" applyFill="1" applyBorder="1" applyAlignment="1">
      <alignment vertical="justify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wrapText="1"/>
    </xf>
    <xf numFmtId="0" fontId="35" fillId="0" borderId="34" xfId="0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9" fontId="14" fillId="0" borderId="34" xfId="0" applyNumberFormat="1" applyFont="1" applyFill="1" applyBorder="1" applyAlignment="1">
      <alignment horizontal="center" vertical="center"/>
    </xf>
    <xf numFmtId="0" fontId="14" fillId="0" borderId="34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wrapText="1"/>
    </xf>
    <xf numFmtId="0" fontId="14" fillId="0" borderId="34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 wrapText="1"/>
    </xf>
    <xf numFmtId="0" fontId="35" fillId="0" borderId="44" xfId="0" applyFont="1" applyBorder="1" applyAlignment="1">
      <alignment horizontal="center"/>
    </xf>
    <xf numFmtId="0" fontId="14" fillId="0" borderId="36" xfId="0" applyFont="1" applyBorder="1" applyAlignment="1">
      <alignment horizontal="center" vertical="justify"/>
    </xf>
    <xf numFmtId="0" fontId="35" fillId="0" borderId="30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justify" wrapText="1"/>
    </xf>
    <xf numFmtId="0" fontId="14" fillId="0" borderId="36" xfId="0" applyFont="1" applyBorder="1" applyAlignment="1">
      <alignment horizontal="center"/>
    </xf>
    <xf numFmtId="0" fontId="14" fillId="0" borderId="11" xfId="0" applyFont="1" applyFill="1" applyBorder="1" applyAlignment="1">
      <alignment horizontal="center" vertical="center"/>
    </xf>
    <xf numFmtId="0" fontId="14" fillId="0" borderId="11" xfId="0" applyFont="1" applyBorder="1" applyAlignment="1">
      <alignment wrapText="1"/>
    </xf>
    <xf numFmtId="0" fontId="14" fillId="0" borderId="44" xfId="0" applyFont="1" applyFill="1" applyBorder="1" applyAlignment="1">
      <alignment horizontal="center" vertical="justify" wrapText="1"/>
    </xf>
    <xf numFmtId="0" fontId="14" fillId="0" borderId="36" xfId="0" applyFont="1" applyFill="1" applyBorder="1" applyAlignment="1">
      <alignment vertical="justify" wrapText="1"/>
    </xf>
    <xf numFmtId="0" fontId="14" fillId="0" borderId="1" xfId="0" applyFont="1" applyFill="1" applyBorder="1" applyAlignment="1">
      <alignment horizontal="center" vertical="justify"/>
    </xf>
    <xf numFmtId="0" fontId="14" fillId="0" borderId="1" xfId="0" applyFont="1" applyBorder="1" applyAlignment="1">
      <alignment vertical="justify" wrapText="1"/>
    </xf>
    <xf numFmtId="0" fontId="35" fillId="0" borderId="1" xfId="0" applyFont="1" applyFill="1" applyBorder="1" applyAlignment="1">
      <alignment horizontal="center" vertical="justify"/>
    </xf>
    <xf numFmtId="0" fontId="14" fillId="0" borderId="6" xfId="0" applyFont="1" applyFill="1" applyBorder="1" applyAlignment="1">
      <alignment horizontal="center" vertical="justify"/>
    </xf>
    <xf numFmtId="9" fontId="14" fillId="0" borderId="34" xfId="0" applyNumberFormat="1" applyFont="1" applyFill="1" applyBorder="1" applyAlignment="1">
      <alignment horizontal="center" vertical="justify"/>
    </xf>
    <xf numFmtId="0" fontId="14" fillId="0" borderId="1" xfId="0" applyFont="1" applyFill="1" applyBorder="1" applyAlignment="1">
      <alignment horizontal="center" vertical="justify" wrapText="1"/>
    </xf>
    <xf numFmtId="0" fontId="14" fillId="0" borderId="3" xfId="0" applyFont="1" applyBorder="1" applyAlignment="1">
      <alignment vertical="justify" wrapText="1"/>
    </xf>
    <xf numFmtId="0" fontId="35" fillId="0" borderId="30" xfId="0" applyFont="1" applyFill="1" applyBorder="1" applyAlignment="1">
      <alignment horizontal="center" vertical="justify"/>
    </xf>
    <xf numFmtId="0" fontId="14" fillId="0" borderId="30" xfId="0" applyFont="1" applyFill="1" applyBorder="1" applyAlignment="1">
      <alignment horizontal="center" vertical="justify"/>
    </xf>
    <xf numFmtId="0" fontId="14" fillId="0" borderId="30" xfId="0" applyFont="1" applyFill="1" applyBorder="1" applyAlignment="1">
      <alignment horizontal="center" vertical="justify" wrapText="1"/>
    </xf>
    <xf numFmtId="0" fontId="14" fillId="0" borderId="11" xfId="0" applyFont="1" applyBorder="1" applyAlignment="1">
      <alignment vertical="justify" wrapText="1"/>
    </xf>
    <xf numFmtId="0" fontId="35" fillId="0" borderId="11" xfId="0" applyFont="1" applyFill="1" applyBorder="1" applyAlignment="1">
      <alignment horizontal="center" vertical="justify"/>
    </xf>
    <xf numFmtId="0" fontId="14" fillId="0" borderId="15" xfId="0" applyFont="1" applyFill="1" applyBorder="1" applyAlignment="1">
      <alignment horizontal="center" vertical="justify"/>
    </xf>
    <xf numFmtId="0" fontId="14" fillId="0" borderId="11" xfId="0" applyFont="1" applyFill="1" applyBorder="1" applyAlignment="1">
      <alignment horizontal="center" vertical="justify" wrapText="1"/>
    </xf>
    <xf numFmtId="0" fontId="34" fillId="0" borderId="54" xfId="0" applyFont="1" applyFill="1" applyBorder="1" applyAlignment="1">
      <alignment horizontal="center" vertical="justify" readingOrder="1"/>
    </xf>
    <xf numFmtId="0" fontId="34" fillId="0" borderId="30" xfId="0" applyFont="1" applyFill="1" applyBorder="1" applyAlignment="1">
      <alignment horizontal="center" vertical="justify" readingOrder="1"/>
    </xf>
    <xf numFmtId="0" fontId="14" fillId="0" borderId="24" xfId="0" applyFont="1" applyFill="1" applyBorder="1" applyAlignment="1">
      <alignment horizontal="center" vertical="justify" wrapText="1"/>
    </xf>
    <xf numFmtId="0" fontId="14" fillId="0" borderId="1" xfId="0" applyFont="1" applyFill="1" applyBorder="1" applyAlignment="1">
      <alignment vertical="justify"/>
    </xf>
    <xf numFmtId="0" fontId="14" fillId="0" borderId="10" xfId="0" applyFont="1" applyBorder="1" applyAlignment="1">
      <alignment vertical="justify" wrapText="1"/>
    </xf>
    <xf numFmtId="0" fontId="14" fillId="0" borderId="6" xfId="0" applyFont="1" applyFill="1" applyBorder="1" applyAlignment="1">
      <alignment horizontal="center" vertical="justify"/>
    </xf>
    <xf numFmtId="0" fontId="14" fillId="0" borderId="1" xfId="0" applyFont="1" applyFill="1" applyBorder="1" applyAlignment="1">
      <alignment horizontal="center" vertical="justify" wrapText="1"/>
    </xf>
    <xf numFmtId="0" fontId="14" fillId="0" borderId="24" xfId="0" applyFont="1" applyFill="1" applyBorder="1" applyAlignment="1">
      <alignment horizontal="center" vertical="justify" wrapText="1"/>
    </xf>
    <xf numFmtId="0" fontId="14" fillId="0" borderId="1" xfId="0" applyFont="1" applyFill="1" applyBorder="1" applyAlignment="1">
      <alignment vertical="justify"/>
    </xf>
    <xf numFmtId="0" fontId="14" fillId="0" borderId="25" xfId="0" applyFont="1" applyFill="1" applyBorder="1" applyAlignment="1">
      <alignment horizontal="center" vertical="justify" wrapText="1"/>
    </xf>
    <xf numFmtId="0" fontId="14" fillId="0" borderId="11" xfId="0" applyFont="1" applyFill="1" applyBorder="1" applyAlignment="1">
      <alignment vertical="justify"/>
    </xf>
    <xf numFmtId="0" fontId="34" fillId="0" borderId="9" xfId="0" applyFont="1" applyFill="1" applyBorder="1" applyAlignment="1">
      <alignment horizontal="center" vertical="justify" readingOrder="1"/>
    </xf>
    <xf numFmtId="0" fontId="34" fillId="0" borderId="10" xfId="0" applyFont="1" applyFill="1" applyBorder="1" applyAlignment="1">
      <alignment horizontal="center" vertical="justify" readingOrder="1"/>
    </xf>
    <xf numFmtId="0" fontId="44" fillId="0" borderId="24" xfId="0" applyFont="1" applyFill="1" applyBorder="1" applyAlignment="1">
      <alignment horizontal="center" vertical="justify" readingOrder="1"/>
    </xf>
    <xf numFmtId="0" fontId="44" fillId="0" borderId="1" xfId="0" applyFont="1" applyFill="1" applyBorder="1" applyAlignment="1">
      <alignment horizontal="center" vertical="justify" readingOrder="1"/>
    </xf>
    <xf numFmtId="0" fontId="35" fillId="0" borderId="58" xfId="0" applyFont="1" applyBorder="1" applyAlignment="1">
      <alignment vertical="justify"/>
    </xf>
    <xf numFmtId="0" fontId="14" fillId="0" borderId="58" xfId="0" applyFont="1" applyBorder="1" applyAlignment="1">
      <alignment vertical="justify" wrapText="1"/>
    </xf>
    <xf numFmtId="0" fontId="44" fillId="0" borderId="1" xfId="0" applyFont="1" applyFill="1" applyBorder="1" applyAlignment="1">
      <alignment horizontal="center" vertical="justify" wrapText="1" readingOrder="1"/>
    </xf>
    <xf numFmtId="0" fontId="14" fillId="0" borderId="14" xfId="0" applyFont="1" applyFill="1" applyBorder="1" applyAlignment="1">
      <alignment horizontal="center" vertical="justify" readingOrder="1"/>
    </xf>
    <xf numFmtId="0" fontId="14" fillId="0" borderId="14" xfId="0" applyFont="1" applyFill="1" applyBorder="1" applyAlignment="1">
      <alignment horizontal="center" vertical="justify"/>
    </xf>
    <xf numFmtId="0" fontId="35" fillId="0" borderId="3" xfId="0" applyFont="1" applyBorder="1" applyAlignment="1">
      <alignment vertical="justify"/>
    </xf>
    <xf numFmtId="0" fontId="44" fillId="0" borderId="15" xfId="0" applyFont="1" applyFill="1" applyBorder="1" applyAlignment="1">
      <alignment horizontal="center" vertical="justify" readingOrder="1"/>
    </xf>
    <xf numFmtId="0" fontId="44" fillId="0" borderId="14" xfId="0" applyFont="1" applyFill="1" applyBorder="1" applyAlignment="1">
      <alignment horizontal="center" vertical="justify" wrapText="1" readingOrder="1"/>
    </xf>
    <xf numFmtId="0" fontId="14" fillId="0" borderId="15" xfId="0" applyFont="1" applyFill="1" applyBorder="1" applyAlignment="1">
      <alignment horizontal="center" vertical="justify" readingOrder="1"/>
    </xf>
    <xf numFmtId="0" fontId="35" fillId="0" borderId="11" xfId="0" applyFont="1" applyBorder="1" applyAlignment="1">
      <alignment vertical="justify"/>
    </xf>
    <xf numFmtId="0" fontId="14" fillId="0" borderId="10" xfId="0" applyFont="1" applyFill="1" applyBorder="1" applyAlignment="1">
      <alignment horizontal="center" vertical="justify" wrapText="1"/>
    </xf>
    <xf numFmtId="0" fontId="14" fillId="0" borderId="10" xfId="0" applyFont="1" applyFill="1" applyBorder="1" applyAlignment="1">
      <alignment horizontal="center" vertical="justify"/>
    </xf>
    <xf numFmtId="0" fontId="44" fillId="0" borderId="15" xfId="0" applyFont="1" applyFill="1" applyBorder="1" applyAlignment="1">
      <alignment horizontal="center" vertical="justify" wrapText="1" readingOrder="1"/>
    </xf>
    <xf numFmtId="0" fontId="5" fillId="0" borderId="3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/>
    <xf numFmtId="0" fontId="6" fillId="0" borderId="0" xfId="0" applyFont="1" applyFill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center" vertical="center" readingOrder="1"/>
    </xf>
    <xf numFmtId="0" fontId="7" fillId="0" borderId="11" xfId="0" applyFont="1" applyFill="1" applyBorder="1" applyAlignment="1">
      <alignment horizontal="center" vertical="center" wrapText="1" readingOrder="1"/>
    </xf>
    <xf numFmtId="0" fontId="7" fillId="0" borderId="11" xfId="0" applyFont="1" applyFill="1" applyBorder="1" applyAlignment="1">
      <alignment horizontal="center" vertical="center" readingOrder="1"/>
    </xf>
    <xf numFmtId="0" fontId="7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 vertical="center" readingOrder="1"/>
    </xf>
    <xf numFmtId="0" fontId="30" fillId="0" borderId="10" xfId="0" applyFont="1" applyFill="1" applyBorder="1" applyAlignment="1">
      <alignment horizontal="center" vertical="center" readingOrder="1"/>
    </xf>
    <xf numFmtId="0" fontId="13" fillId="0" borderId="59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0" borderId="0" xfId="0" applyFont="1" applyAlignment="1">
      <alignment wrapText="1"/>
    </xf>
    <xf numFmtId="0" fontId="37" fillId="0" borderId="34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9" fontId="13" fillId="0" borderId="34" xfId="0" applyNumberFormat="1" applyFont="1" applyFill="1" applyBorder="1" applyAlignment="1">
      <alignment horizontal="center" vertical="center"/>
    </xf>
    <xf numFmtId="0" fontId="13" fillId="0" borderId="18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37" fillId="0" borderId="30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vertical="center"/>
    </xf>
    <xf numFmtId="0" fontId="13" fillId="0" borderId="11" xfId="0" applyFont="1" applyFill="1" applyBorder="1" applyAlignment="1">
      <alignment vertical="center"/>
    </xf>
    <xf numFmtId="0" fontId="13" fillId="0" borderId="9" xfId="0" applyFont="1" applyFill="1" applyBorder="1" applyAlignment="1">
      <alignment horizontal="center"/>
    </xf>
    <xf numFmtId="0" fontId="13" fillId="0" borderId="10" xfId="0" applyFont="1" applyFill="1" applyBorder="1" applyAlignment="1">
      <alignment vertical="center"/>
    </xf>
    <xf numFmtId="0" fontId="13" fillId="0" borderId="38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/>
    </xf>
    <xf numFmtId="9" fontId="37" fillId="0" borderId="34" xfId="0" applyNumberFormat="1" applyFont="1" applyBorder="1" applyAlignment="1">
      <alignment horizontal="center" vertical="center"/>
    </xf>
    <xf numFmtId="9" fontId="37" fillId="0" borderId="59" xfId="0" applyNumberFormat="1" applyFont="1" applyBorder="1" applyAlignment="1">
      <alignment horizontal="center" vertical="center"/>
    </xf>
    <xf numFmtId="0" fontId="31" fillId="0" borderId="5" xfId="0" applyFont="1" applyFill="1" applyBorder="1" applyAlignment="1">
      <alignment horizontal="center" vertical="center" readingOrder="1"/>
    </xf>
    <xf numFmtId="0" fontId="31" fillId="0" borderId="6" xfId="0" applyFont="1" applyFill="1" applyBorder="1" applyAlignment="1">
      <alignment horizontal="center" vertical="center" readingOrder="1"/>
    </xf>
    <xf numFmtId="0" fontId="31" fillId="0" borderId="38" xfId="0" applyFont="1" applyFill="1" applyBorder="1" applyAlignment="1">
      <alignment horizontal="center" vertical="center" readingOrder="1"/>
    </xf>
    <xf numFmtId="0" fontId="31" fillId="0" borderId="10" xfId="0" applyFont="1" applyFill="1" applyBorder="1" applyAlignment="1">
      <alignment horizontal="center" vertical="center" readingOrder="1"/>
    </xf>
    <xf numFmtId="0" fontId="31" fillId="0" borderId="6" xfId="0" applyFont="1" applyFill="1" applyBorder="1" applyAlignment="1">
      <alignment horizontal="center" vertical="center" wrapText="1" readingOrder="1"/>
    </xf>
    <xf numFmtId="0" fontId="31" fillId="0" borderId="56" xfId="0" applyFont="1" applyFill="1" applyBorder="1" applyAlignment="1">
      <alignment horizontal="center" vertical="center" readingOrder="1"/>
    </xf>
    <xf numFmtId="0" fontId="31" fillId="0" borderId="15" xfId="0" applyFont="1" applyFill="1" applyBorder="1" applyAlignment="1">
      <alignment horizontal="center" vertical="center" readingOrder="1"/>
    </xf>
    <xf numFmtId="0" fontId="31" fillId="0" borderId="15" xfId="0" applyFont="1" applyFill="1" applyBorder="1" applyAlignment="1">
      <alignment horizontal="center" vertical="center" wrapText="1" readingOrder="1"/>
    </xf>
    <xf numFmtId="0" fontId="6" fillId="0" borderId="3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37" fillId="0" borderId="6" xfId="0" applyFont="1" applyBorder="1" applyAlignment="1">
      <alignment horizontal="center"/>
    </xf>
    <xf numFmtId="0" fontId="31" fillId="0" borderId="6" xfId="0" applyFont="1" applyFill="1" applyBorder="1" applyAlignment="1">
      <alignment horizontal="center" vertical="center" readingOrder="1"/>
    </xf>
    <xf numFmtId="0" fontId="37" fillId="0" borderId="30" xfId="0" applyFont="1" applyBorder="1" applyAlignment="1">
      <alignment horizontal="center"/>
    </xf>
    <xf numFmtId="0" fontId="31" fillId="0" borderId="30" xfId="0" applyFont="1" applyFill="1" applyBorder="1" applyAlignment="1">
      <alignment horizontal="center" vertical="center" readingOrder="1"/>
    </xf>
    <xf numFmtId="0" fontId="13" fillId="0" borderId="58" xfId="0" applyFont="1" applyBorder="1" applyAlignment="1">
      <alignment wrapText="1"/>
    </xf>
    <xf numFmtId="0" fontId="31" fillId="0" borderId="1" xfId="0" applyFont="1" applyFill="1" applyBorder="1" applyAlignment="1">
      <alignment horizontal="center" vertical="center" readingOrder="1"/>
    </xf>
    <xf numFmtId="0" fontId="31" fillId="0" borderId="34" xfId="0" applyFont="1" applyFill="1" applyBorder="1" applyAlignment="1">
      <alignment horizontal="center" vertical="center" readingOrder="1"/>
    </xf>
    <xf numFmtId="0" fontId="31" fillId="0" borderId="34" xfId="0" applyFont="1" applyFill="1" applyBorder="1" applyAlignment="1">
      <alignment horizontal="center" vertical="center" wrapText="1" readingOrder="1"/>
    </xf>
    <xf numFmtId="0" fontId="37" fillId="0" borderId="41" xfId="0" applyFont="1" applyBorder="1" applyAlignment="1">
      <alignment horizontal="center"/>
    </xf>
    <xf numFmtId="0" fontId="13" fillId="0" borderId="54" xfId="0" applyFont="1" applyBorder="1" applyAlignment="1">
      <alignment horizontal="center" wrapText="1"/>
    </xf>
    <xf numFmtId="0" fontId="31" fillId="0" borderId="30" xfId="0" applyFont="1" applyFill="1" applyBorder="1" applyAlignment="1">
      <alignment horizontal="center" vertical="center" readingOrder="1"/>
    </xf>
    <xf numFmtId="0" fontId="31" fillId="0" borderId="14" xfId="0" applyFont="1" applyFill="1" applyBorder="1" applyAlignment="1">
      <alignment horizontal="center" vertical="center" readingOrder="1"/>
    </xf>
    <xf numFmtId="0" fontId="31" fillId="0" borderId="14" xfId="0" applyFont="1" applyFill="1" applyBorder="1" applyAlignment="1">
      <alignment horizontal="center" vertical="center" wrapText="1" readingOrder="1"/>
    </xf>
    <xf numFmtId="0" fontId="31" fillId="0" borderId="30" xfId="0" applyFont="1" applyFill="1" applyBorder="1" applyAlignment="1">
      <alignment horizontal="center" vertical="center" wrapText="1" readingOrder="1"/>
    </xf>
    <xf numFmtId="0" fontId="13" fillId="0" borderId="56" xfId="0" applyFont="1" applyBorder="1" applyAlignment="1">
      <alignment horizontal="center" wrapText="1"/>
    </xf>
    <xf numFmtId="0" fontId="37" fillId="0" borderId="15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13" fillId="0" borderId="20" xfId="0" applyFont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31" fillId="0" borderId="6" xfId="0" applyFont="1" applyFill="1" applyBorder="1" applyAlignment="1">
      <alignment horizontal="left" vertical="center" wrapText="1" readingOrder="1"/>
    </xf>
    <xf numFmtId="0" fontId="37" fillId="0" borderId="58" xfId="0" applyFont="1" applyBorder="1" applyAlignment="1">
      <alignment horizontal="center"/>
    </xf>
    <xf numFmtId="0" fontId="13" fillId="0" borderId="58" xfId="0" applyFont="1" applyBorder="1" applyAlignment="1">
      <alignment horizontal="center" wrapText="1"/>
    </xf>
    <xf numFmtId="0" fontId="37" fillId="0" borderId="60" xfId="0" applyFont="1" applyBorder="1" applyAlignment="1">
      <alignment horizontal="center"/>
    </xf>
    <xf numFmtId="0" fontId="13" fillId="0" borderId="60" xfId="0" applyFont="1" applyBorder="1" applyAlignment="1">
      <alignment horizontal="center"/>
    </xf>
    <xf numFmtId="0" fontId="37" fillId="0" borderId="50" xfId="0" applyFont="1" applyBorder="1" applyAlignment="1">
      <alignment horizontal="center"/>
    </xf>
    <xf numFmtId="0" fontId="13" fillId="0" borderId="50" xfId="0" applyFont="1" applyBorder="1" applyAlignment="1">
      <alignment horizontal="center"/>
    </xf>
    <xf numFmtId="0" fontId="31" fillId="0" borderId="1" xfId="0" applyFont="1" applyFill="1" applyBorder="1" applyAlignment="1">
      <alignment horizontal="center" vertical="center"/>
    </xf>
    <xf numFmtId="0" fontId="13" fillId="0" borderId="56" xfId="0" applyFont="1" applyFill="1" applyBorder="1" applyAlignment="1">
      <alignment horizontal="center" vertical="center" wrapText="1"/>
    </xf>
    <xf numFmtId="0" fontId="31" fillId="0" borderId="9" xfId="0" applyFont="1" applyFill="1" applyBorder="1" applyAlignment="1">
      <alignment horizontal="center" vertical="center" readingOrder="1"/>
    </xf>
    <xf numFmtId="0" fontId="13" fillId="0" borderId="0" xfId="0" applyFont="1"/>
    <xf numFmtId="0" fontId="37" fillId="0" borderId="4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horizontal="center" vertical="center"/>
    </xf>
    <xf numFmtId="0" fontId="33" fillId="0" borderId="11" xfId="0" applyFont="1" applyFill="1" applyBorder="1" applyAlignment="1">
      <alignment horizontal="center" vertical="justify" wrapText="1"/>
    </xf>
    <xf numFmtId="0" fontId="0" fillId="0" borderId="0" xfId="0" applyFont="1"/>
    <xf numFmtId="0" fontId="29" fillId="0" borderId="0" xfId="0" applyFont="1" applyFill="1"/>
    <xf numFmtId="0" fontId="29" fillId="0" borderId="40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wrapText="1"/>
    </xf>
    <xf numFmtId="0" fontId="29" fillId="0" borderId="25" xfId="0" applyFont="1" applyFill="1" applyBorder="1" applyAlignment="1">
      <alignment horizontal="center" vertical="center" readingOrder="1"/>
    </xf>
    <xf numFmtId="0" fontId="29" fillId="0" borderId="11" xfId="0" applyFont="1" applyFill="1" applyBorder="1" applyAlignment="1">
      <alignment horizontal="center" vertical="center" wrapText="1" readingOrder="1"/>
    </xf>
    <xf numFmtId="0" fontId="29" fillId="0" borderId="11" xfId="0" applyFont="1" applyFill="1" applyBorder="1" applyAlignment="1">
      <alignment horizontal="center" vertical="center" wrapText="1"/>
    </xf>
    <xf numFmtId="0" fontId="29" fillId="0" borderId="11" xfId="0" applyFont="1" applyFill="1" applyBorder="1" applyAlignment="1">
      <alignment horizontal="center" vertical="center" wrapText="1"/>
    </xf>
    <xf numFmtId="0" fontId="29" fillId="0" borderId="11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 vertical="center" readingOrder="1"/>
    </xf>
    <xf numFmtId="0" fontId="29" fillId="0" borderId="10" xfId="0" applyFont="1" applyFill="1" applyBorder="1" applyAlignment="1">
      <alignment horizontal="center" vertical="center" readingOrder="1"/>
    </xf>
    <xf numFmtId="0" fontId="31" fillId="0" borderId="14" xfId="0" applyFont="1" applyBorder="1" applyAlignment="1">
      <alignment horizontal="left" vertical="center"/>
    </xf>
    <xf numFmtId="0" fontId="31" fillId="0" borderId="14" xfId="0" applyFont="1" applyBorder="1" applyAlignment="1">
      <alignment horizontal="left" vertical="center" wrapText="1"/>
    </xf>
    <xf numFmtId="0" fontId="31" fillId="0" borderId="3" xfId="0" applyFont="1" applyBorder="1" applyAlignment="1">
      <alignment wrapText="1"/>
    </xf>
    <xf numFmtId="0" fontId="31" fillId="0" borderId="34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9" fontId="31" fillId="0" borderId="34" xfId="0" applyNumberFormat="1" applyFont="1" applyFill="1" applyBorder="1" applyAlignment="1">
      <alignment horizontal="center" vertical="center"/>
    </xf>
    <xf numFmtId="0" fontId="31" fillId="0" borderId="34" xfId="0" applyFont="1" applyFill="1" applyBorder="1" applyAlignment="1">
      <alignment horizontal="center" vertical="center" wrapText="1"/>
    </xf>
    <xf numFmtId="0" fontId="31" fillId="0" borderId="34" xfId="0" applyFont="1" applyBorder="1" applyAlignment="1">
      <alignment horizontal="left" vertical="center"/>
    </xf>
    <xf numFmtId="0" fontId="31" fillId="0" borderId="34" xfId="0" applyFont="1" applyBorder="1" applyAlignment="1">
      <alignment horizontal="left" vertical="center" wrapText="1"/>
    </xf>
    <xf numFmtId="0" fontId="31" fillId="0" borderId="3" xfId="0" applyFont="1" applyBorder="1"/>
    <xf numFmtId="0" fontId="31" fillId="0" borderId="14" xfId="0" applyFont="1" applyFill="1" applyBorder="1" applyAlignment="1">
      <alignment horizontal="center" vertical="center" wrapText="1"/>
    </xf>
    <xf numFmtId="0" fontId="31" fillId="0" borderId="3" xfId="0" applyFont="1" applyBorder="1" applyAlignment="1">
      <alignment vertical="center" wrapText="1"/>
    </xf>
    <xf numFmtId="0" fontId="31" fillId="0" borderId="30" xfId="0" applyFont="1" applyBorder="1" applyAlignment="1">
      <alignment horizontal="left" vertical="center"/>
    </xf>
    <xf numFmtId="0" fontId="31" fillId="0" borderId="30" xfId="0" applyFont="1" applyFill="1" applyBorder="1" applyAlignment="1">
      <alignment horizontal="center" vertical="center"/>
    </xf>
    <xf numFmtId="0" fontId="31" fillId="0" borderId="14" xfId="0" applyFont="1" applyBorder="1" applyAlignment="1">
      <alignment wrapText="1"/>
    </xf>
    <xf numFmtId="0" fontId="31" fillId="0" borderId="14" xfId="0" applyFont="1" applyFill="1" applyBorder="1" applyAlignment="1">
      <alignment horizontal="center" vertical="center"/>
    </xf>
    <xf numFmtId="0" fontId="29" fillId="0" borderId="3" xfId="0" applyFont="1" applyFill="1" applyBorder="1" applyAlignment="1">
      <alignment horizontal="center" vertical="center" readingOrder="1"/>
    </xf>
    <xf numFmtId="0" fontId="31" fillId="0" borderId="3" xfId="0" applyFont="1" applyBorder="1" applyAlignment="1">
      <alignment horizontal="center"/>
    </xf>
    <xf numFmtId="0" fontId="29" fillId="0" borderId="14" xfId="0" applyFont="1" applyFill="1" applyBorder="1" applyAlignment="1">
      <alignment horizontal="center" vertical="center" readingOrder="1"/>
    </xf>
    <xf numFmtId="0" fontId="29" fillId="0" borderId="34" xfId="0" applyFont="1" applyFill="1" applyBorder="1" applyAlignment="1">
      <alignment horizontal="center" vertical="center" readingOrder="1"/>
    </xf>
    <xf numFmtId="0" fontId="31" fillId="0" borderId="3" xfId="0" applyFont="1" applyBorder="1" applyAlignment="1">
      <alignment horizontal="left" vertical="center"/>
    </xf>
    <xf numFmtId="0" fontId="31" fillId="0" borderId="3" xfId="0" applyFont="1" applyBorder="1" applyAlignment="1">
      <alignment horizontal="left" vertical="center" wrapText="1"/>
    </xf>
    <xf numFmtId="0" fontId="31" fillId="0" borderId="3" xfId="0" applyFont="1" applyBorder="1" applyAlignment="1">
      <alignment vertical="center"/>
    </xf>
    <xf numFmtId="0" fontId="31" fillId="0" borderId="3" xfId="0" applyFont="1" applyBorder="1" applyAlignment="1">
      <alignment horizontal="left" wrapText="1"/>
    </xf>
    <xf numFmtId="0" fontId="31" fillId="0" borderId="34" xfId="0" applyFont="1" applyFill="1" applyBorder="1" applyAlignment="1">
      <alignment horizontal="center" vertical="center" wrapText="1"/>
    </xf>
    <xf numFmtId="0" fontId="31" fillId="0" borderId="14" xfId="0" applyFont="1" applyFill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15" xfId="0" applyFont="1" applyFill="1" applyBorder="1" applyAlignment="1">
      <alignment horizontal="center" vertical="center" wrapText="1"/>
    </xf>
    <xf numFmtId="0" fontId="31" fillId="0" borderId="15" xfId="0" applyFont="1" applyFill="1" applyBorder="1" applyAlignment="1">
      <alignment horizontal="center" vertical="center"/>
    </xf>
    <xf numFmtId="0" fontId="29" fillId="0" borderId="38" xfId="0" applyFont="1" applyFill="1" applyBorder="1" applyAlignment="1">
      <alignment horizontal="center" vertical="center"/>
    </xf>
    <xf numFmtId="0" fontId="29" fillId="0" borderId="9" xfId="0" applyFont="1" applyFill="1" applyBorder="1" applyAlignment="1">
      <alignment horizontal="center" vertical="center"/>
    </xf>
    <xf numFmtId="0" fontId="29" fillId="0" borderId="10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6" xfId="0" applyFont="1" applyFill="1" applyBorder="1" applyAlignment="1">
      <alignment horizontal="center" vertical="center" readingOrder="1"/>
    </xf>
    <xf numFmtId="0" fontId="31" fillId="0" borderId="59" xfId="0" applyFont="1" applyFill="1" applyBorder="1" applyAlignment="1">
      <alignment horizontal="left" vertical="center"/>
    </xf>
    <xf numFmtId="0" fontId="31" fillId="0" borderId="27" xfId="0" applyFont="1" applyBorder="1" applyAlignment="1">
      <alignment horizontal="left" vertical="center" wrapText="1"/>
    </xf>
    <xf numFmtId="0" fontId="31" fillId="0" borderId="16" xfId="0" applyFont="1" applyBorder="1" applyAlignment="1">
      <alignment horizontal="center"/>
    </xf>
    <xf numFmtId="0" fontId="31" fillId="0" borderId="59" xfId="0" applyFont="1" applyFill="1" applyBorder="1" applyAlignment="1">
      <alignment horizontal="center" vertical="center"/>
    </xf>
    <xf numFmtId="0" fontId="31" fillId="0" borderId="34" xfId="0" applyFont="1" applyFill="1" applyBorder="1" applyAlignment="1">
      <alignment horizontal="left" vertical="center" wrapText="1"/>
    </xf>
    <xf numFmtId="0" fontId="31" fillId="0" borderId="41" xfId="0" applyFont="1" applyBorder="1" applyAlignment="1">
      <alignment horizontal="left" vertical="center" wrapText="1"/>
    </xf>
    <xf numFmtId="0" fontId="31" fillId="0" borderId="61" xfId="0" applyFont="1" applyFill="1" applyBorder="1" applyAlignment="1">
      <alignment horizontal="left" vertical="center"/>
    </xf>
    <xf numFmtId="0" fontId="31" fillId="0" borderId="61" xfId="0" applyFont="1" applyFill="1" applyBorder="1" applyAlignment="1">
      <alignment horizontal="center" vertical="center"/>
    </xf>
    <xf numFmtId="0" fontId="31" fillId="0" borderId="14" xfId="0" applyFont="1" applyFill="1" applyBorder="1" applyAlignment="1">
      <alignment horizontal="left" vertical="center" wrapText="1"/>
    </xf>
    <xf numFmtId="0" fontId="31" fillId="0" borderId="14" xfId="0" applyFont="1" applyFill="1" applyBorder="1" applyAlignment="1">
      <alignment horizontal="left" vertical="center"/>
    </xf>
    <xf numFmtId="0" fontId="31" fillId="0" borderId="16" xfId="0" applyFont="1" applyFill="1" applyBorder="1" applyAlignment="1">
      <alignment horizontal="center" vertical="center"/>
    </xf>
    <xf numFmtId="0" fontId="31" fillId="0" borderId="18" xfId="0" applyFont="1" applyFill="1" applyBorder="1" applyAlignment="1">
      <alignment horizontal="center" vertical="center"/>
    </xf>
    <xf numFmtId="0" fontId="31" fillId="0" borderId="34" xfId="0" applyFont="1" applyFill="1" applyBorder="1" applyAlignment="1">
      <alignment horizontal="left" vertical="center"/>
    </xf>
    <xf numFmtId="0" fontId="31" fillId="0" borderId="34" xfId="0" applyFont="1" applyFill="1" applyBorder="1" applyAlignment="1">
      <alignment horizontal="center" vertical="center"/>
    </xf>
    <xf numFmtId="0" fontId="31" fillId="0" borderId="59" xfId="0" applyFont="1" applyFill="1" applyBorder="1" applyAlignment="1">
      <alignment horizontal="left" vertical="center" wrapText="1"/>
    </xf>
    <xf numFmtId="0" fontId="31" fillId="0" borderId="0" xfId="0" applyFont="1" applyBorder="1" applyAlignment="1">
      <alignment horizontal="left" vertical="center" wrapText="1"/>
    </xf>
    <xf numFmtId="0" fontId="31" fillId="0" borderId="33" xfId="0" applyFont="1" applyFill="1" applyBorder="1" applyAlignment="1">
      <alignment horizontal="center" vertical="center"/>
    </xf>
    <xf numFmtId="0" fontId="31" fillId="0" borderId="61" xfId="0" applyFont="1" applyFill="1" applyBorder="1" applyAlignment="1">
      <alignment horizontal="left" vertical="center" wrapText="1"/>
    </xf>
    <xf numFmtId="0" fontId="31" fillId="0" borderId="14" xfId="0" applyFont="1" applyBorder="1" applyAlignment="1">
      <alignment vertical="center" wrapText="1"/>
    </xf>
    <xf numFmtId="0" fontId="31" fillId="0" borderId="54" xfId="0" applyFont="1" applyFill="1" applyBorder="1" applyAlignment="1">
      <alignment horizontal="left" vertical="center" wrapText="1"/>
    </xf>
    <xf numFmtId="0" fontId="31" fillId="0" borderId="54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left" vertical="center" wrapText="1"/>
    </xf>
    <xf numFmtId="0" fontId="31" fillId="0" borderId="3" xfId="0" applyFont="1" applyFill="1" applyBorder="1" applyAlignment="1">
      <alignment horizontal="left" vertical="center" wrapText="1"/>
    </xf>
    <xf numFmtId="0" fontId="31" fillId="0" borderId="0" xfId="0" applyFont="1" applyAlignment="1">
      <alignment wrapText="1"/>
    </xf>
    <xf numFmtId="0" fontId="31" fillId="0" borderId="16" xfId="0" applyFont="1" applyFill="1" applyBorder="1" applyAlignment="1">
      <alignment horizontal="left" vertical="center" wrapText="1"/>
    </xf>
    <xf numFmtId="0" fontId="29" fillId="0" borderId="50" xfId="0" applyFont="1" applyFill="1" applyBorder="1" applyAlignment="1">
      <alignment horizontal="center" vertical="center"/>
    </xf>
    <xf numFmtId="0" fontId="29" fillId="0" borderId="56" xfId="0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horizontal="center" vertical="center"/>
    </xf>
    <xf numFmtId="0" fontId="44" fillId="0" borderId="11" xfId="0" applyFont="1" applyFill="1" applyBorder="1" applyAlignment="1">
      <alignment horizontal="center" vertical="center"/>
    </xf>
    <xf numFmtId="0" fontId="44" fillId="0" borderId="62" xfId="0" applyFont="1" applyBorder="1" applyAlignment="1">
      <alignment horizontal="center" vertical="center" wrapText="1"/>
    </xf>
    <xf numFmtId="0" fontId="31" fillId="0" borderId="51" xfId="0" applyFont="1" applyFill="1" applyBorder="1" applyAlignment="1">
      <alignment horizontal="center" vertical="center"/>
    </xf>
    <xf numFmtId="0" fontId="44" fillId="0" borderId="3" xfId="0" applyFont="1" applyBorder="1" applyAlignment="1">
      <alignment vertical="center" wrapText="1"/>
    </xf>
    <xf numFmtId="0" fontId="44" fillId="0" borderId="0" xfId="0" applyFont="1" applyBorder="1" applyAlignment="1">
      <alignment horizontal="center" vertical="center" wrapText="1"/>
    </xf>
    <xf numFmtId="0" fontId="44" fillId="0" borderId="58" xfId="0" applyFont="1" applyBorder="1" applyAlignment="1">
      <alignment horizontal="center" vertical="center" wrapText="1"/>
    </xf>
    <xf numFmtId="0" fontId="31" fillId="0" borderId="3" xfId="0" applyFont="1" applyFill="1" applyBorder="1" applyAlignment="1">
      <alignment horizontal="left" vertical="center" wrapText="1"/>
    </xf>
    <xf numFmtId="0" fontId="44" fillId="0" borderId="14" xfId="0" applyFont="1" applyBorder="1" applyAlignment="1">
      <alignment horizontal="left" vertical="center" wrapText="1"/>
    </xf>
    <xf numFmtId="0" fontId="44" fillId="0" borderId="30" xfId="0" applyFont="1" applyBorder="1" applyAlignment="1">
      <alignment horizontal="left" vertical="center" wrapText="1"/>
    </xf>
    <xf numFmtId="0" fontId="44" fillId="0" borderId="34" xfId="0" applyFont="1" applyBorder="1" applyAlignment="1">
      <alignment horizontal="left" vertical="center" wrapText="1"/>
    </xf>
    <xf numFmtId="0" fontId="44" fillId="0" borderId="14" xfId="0" applyFont="1" applyBorder="1" applyAlignment="1">
      <alignment vertical="center" wrapText="1"/>
    </xf>
    <xf numFmtId="0" fontId="44" fillId="0" borderId="3" xfId="0" applyFont="1" applyBorder="1" applyAlignment="1">
      <alignment horizontal="left" vertical="center" wrapText="1"/>
    </xf>
    <xf numFmtId="0" fontId="31" fillId="0" borderId="14" xfId="0" applyFont="1" applyFill="1" applyBorder="1" applyAlignment="1">
      <alignment vertical="center" wrapText="1"/>
    </xf>
    <xf numFmtId="0" fontId="29" fillId="0" borderId="30" xfId="0" applyFont="1" applyFill="1" applyBorder="1" applyAlignment="1">
      <alignment horizontal="center" vertical="center" readingOrder="1"/>
    </xf>
    <xf numFmtId="0" fontId="31" fillId="0" borderId="50" xfId="0" applyFont="1" applyFill="1" applyBorder="1" applyAlignment="1">
      <alignment vertical="center" wrapText="1"/>
    </xf>
    <xf numFmtId="0" fontId="31" fillId="0" borderId="0" xfId="0" applyFont="1" applyFill="1" applyAlignment="1">
      <alignment horizontal="center"/>
    </xf>
    <xf numFmtId="0" fontId="31" fillId="0" borderId="56" xfId="0" applyFont="1" applyFill="1" applyBorder="1" applyAlignment="1">
      <alignment horizontal="center" vertical="center"/>
    </xf>
    <xf numFmtId="0" fontId="31" fillId="0" borderId="15" xfId="0" applyFont="1" applyFill="1" applyBorder="1" applyAlignment="1">
      <alignment vertical="center" wrapText="1"/>
    </xf>
    <xf numFmtId="0" fontId="29" fillId="0" borderId="11" xfId="0" applyFont="1" applyFill="1" applyBorder="1" applyAlignment="1">
      <alignment horizontal="center" vertical="center" readingOrder="1"/>
    </xf>
    <xf numFmtId="0" fontId="32" fillId="0" borderId="11" xfId="0" applyFont="1" applyFill="1" applyBorder="1" applyAlignment="1">
      <alignment horizontal="center" vertical="center"/>
    </xf>
    <xf numFmtId="0" fontId="31" fillId="0" borderId="9" xfId="0" applyFont="1" applyFill="1" applyBorder="1" applyAlignment="1">
      <alignment horizontal="center"/>
    </xf>
    <xf numFmtId="0" fontId="31" fillId="0" borderId="10" xfId="0" applyFont="1" applyFill="1" applyBorder="1" applyAlignment="1">
      <alignment vertical="center"/>
    </xf>
    <xf numFmtId="0" fontId="31" fillId="0" borderId="38" xfId="0" applyFont="1" applyFill="1" applyBorder="1" applyAlignment="1">
      <alignment vertical="center"/>
    </xf>
    <xf numFmtId="0" fontId="31" fillId="0" borderId="10" xfId="0" applyFont="1" applyFill="1" applyBorder="1" applyAlignment="1">
      <alignment horizontal="center" vertical="center" wrapText="1"/>
    </xf>
    <xf numFmtId="0" fontId="31" fillId="0" borderId="10" xfId="0" applyFont="1" applyFill="1" applyBorder="1" applyAlignment="1">
      <alignment horizontal="center" vertical="center"/>
    </xf>
    <xf numFmtId="9" fontId="31" fillId="0" borderId="10" xfId="0" applyNumberFormat="1" applyFont="1" applyFill="1" applyBorder="1" applyAlignment="1">
      <alignment horizontal="center" vertical="center"/>
    </xf>
    <xf numFmtId="0" fontId="28" fillId="0" borderId="0" xfId="0" applyFont="1"/>
    <xf numFmtId="0" fontId="29" fillId="0" borderId="39" xfId="0" applyFont="1" applyFill="1" applyBorder="1" applyAlignment="1">
      <alignment horizontal="center" vertical="center"/>
    </xf>
    <xf numFmtId="0" fontId="29" fillId="0" borderId="3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 vertical="center" readingOrder="1"/>
    </xf>
    <xf numFmtId="0" fontId="29" fillId="0" borderId="4" xfId="0" applyFont="1" applyFill="1" applyBorder="1" applyAlignment="1">
      <alignment horizontal="center" vertical="center" readingOrder="1"/>
    </xf>
    <xf numFmtId="0" fontId="31" fillId="0" borderId="22" xfId="0" applyFont="1" applyFill="1" applyBorder="1" applyAlignment="1">
      <alignment horizontal="center" vertical="center"/>
    </xf>
    <xf numFmtId="0" fontId="31" fillId="0" borderId="3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 vertical="center" wrapText="1"/>
    </xf>
    <xf numFmtId="0" fontId="31" fillId="0" borderId="3" xfId="0" applyFont="1" applyFill="1" applyBorder="1" applyAlignment="1">
      <alignment vertical="center"/>
    </xf>
    <xf numFmtId="0" fontId="31" fillId="0" borderId="3" xfId="0" applyFont="1" applyFill="1" applyBorder="1" applyAlignment="1">
      <alignment vertical="center"/>
    </xf>
    <xf numFmtId="0" fontId="31" fillId="0" borderId="3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 vertical="center" wrapText="1"/>
    </xf>
    <xf numFmtId="0" fontId="31" fillId="0" borderId="22" xfId="0" applyFont="1" applyFill="1" applyBorder="1" applyAlignment="1">
      <alignment horizontal="center"/>
    </xf>
    <xf numFmtId="0" fontId="31" fillId="0" borderId="0" xfId="0" applyFont="1" applyFill="1" applyAlignment="1"/>
    <xf numFmtId="0" fontId="29" fillId="0" borderId="21" xfId="0" applyFont="1" applyFill="1" applyBorder="1" applyAlignment="1">
      <alignment horizontal="center" vertical="center"/>
    </xf>
    <xf numFmtId="0" fontId="31" fillId="0" borderId="3" xfId="0" applyFont="1" applyFill="1" applyBorder="1" applyAlignment="1">
      <alignment wrapText="1"/>
    </xf>
    <xf numFmtId="0" fontId="31" fillId="0" borderId="3" xfId="0" applyFont="1" applyBorder="1" applyAlignment="1">
      <alignment horizontal="center" wrapText="1"/>
    </xf>
    <xf numFmtId="0" fontId="31" fillId="0" borderId="22" xfId="0" applyFont="1" applyFill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45" fillId="0" borderId="63" xfId="0" applyFont="1" applyFill="1" applyBorder="1" applyAlignment="1">
      <alignment vertical="center" wrapText="1"/>
    </xf>
    <xf numFmtId="0" fontId="45" fillId="0" borderId="55" xfId="0" applyFont="1" applyBorder="1" applyAlignment="1">
      <alignment vertical="center" wrapText="1"/>
    </xf>
    <xf numFmtId="0" fontId="45" fillId="0" borderId="63" xfId="0" applyFont="1" applyBorder="1" applyAlignment="1">
      <alignment vertical="center" wrapText="1"/>
    </xf>
    <xf numFmtId="0" fontId="31" fillId="0" borderId="30" xfId="0" applyFont="1" applyFill="1" applyBorder="1" applyAlignment="1">
      <alignment horizontal="center" vertical="center" wrapText="1"/>
    </xf>
    <xf numFmtId="0" fontId="31" fillId="0" borderId="14" xfId="0" applyFont="1" applyFill="1" applyBorder="1" applyAlignment="1">
      <alignment vertical="center" wrapText="1"/>
    </xf>
    <xf numFmtId="0" fontId="31" fillId="0" borderId="34" xfId="0" applyFont="1" applyFill="1" applyBorder="1" applyAlignment="1">
      <alignment vertical="center" wrapText="1"/>
    </xf>
    <xf numFmtId="0" fontId="29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22" xfId="0" applyFont="1" applyFill="1" applyBorder="1" applyAlignment="1">
      <alignment horizontal="center" vertical="center" wrapText="1"/>
    </xf>
    <xf numFmtId="0" fontId="46" fillId="0" borderId="22" xfId="0" applyFont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center" wrapText="1"/>
    </xf>
    <xf numFmtId="0" fontId="28" fillId="0" borderId="3" xfId="0" applyFont="1" applyBorder="1"/>
    <xf numFmtId="0" fontId="31" fillId="0" borderId="4" xfId="0" applyFont="1" applyBorder="1"/>
    <xf numFmtId="0" fontId="47" fillId="0" borderId="22" xfId="0" applyFont="1" applyBorder="1" applyAlignment="1">
      <alignment horizontal="center" vertical="center" wrapText="1"/>
    </xf>
    <xf numFmtId="0" fontId="47" fillId="0" borderId="3" xfId="0" applyFont="1" applyBorder="1" applyAlignment="1">
      <alignment vertical="center"/>
    </xf>
    <xf numFmtId="0" fontId="47" fillId="0" borderId="3" xfId="0" applyFont="1" applyBorder="1" applyAlignment="1">
      <alignment horizontal="center" vertical="center"/>
    </xf>
    <xf numFmtId="0" fontId="47" fillId="0" borderId="3" xfId="0" applyFont="1" applyBorder="1" applyAlignment="1">
      <alignment vertical="center" wrapText="1"/>
    </xf>
    <xf numFmtId="0" fontId="47" fillId="0" borderId="3" xfId="0" applyFont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9" fontId="31" fillId="0" borderId="3" xfId="0" applyNumberFormat="1" applyFont="1" applyBorder="1"/>
    <xf numFmtId="0" fontId="31" fillId="0" borderId="4" xfId="0" applyFont="1" applyBorder="1" applyAlignment="1">
      <alignment horizontal="center"/>
    </xf>
    <xf numFmtId="0" fontId="47" fillId="0" borderId="3" xfId="0" applyFont="1" applyBorder="1" applyAlignment="1">
      <alignment horizontal="justify" vertical="center" wrapText="1"/>
    </xf>
    <xf numFmtId="0" fontId="47" fillId="0" borderId="3" xfId="0" applyFont="1" applyBorder="1" applyAlignment="1">
      <alignment vertical="center" wrapText="1"/>
    </xf>
    <xf numFmtId="0" fontId="47" fillId="0" borderId="3" xfId="0" applyFont="1" applyBorder="1" applyAlignment="1">
      <alignment vertical="center"/>
    </xf>
    <xf numFmtId="0" fontId="47" fillId="0" borderId="22" xfId="0" applyFont="1" applyBorder="1" applyAlignment="1">
      <alignment horizontal="center" vertical="center" wrapText="1"/>
    </xf>
    <xf numFmtId="0" fontId="29" fillId="0" borderId="22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wrapText="1"/>
    </xf>
    <xf numFmtId="0" fontId="29" fillId="0" borderId="23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48" fillId="0" borderId="11" xfId="0" applyFont="1" applyBorder="1" applyAlignment="1">
      <alignment horizontal="right" vertical="center" wrapText="1"/>
    </xf>
    <xf numFmtId="0" fontId="48" fillId="0" borderId="11" xfId="0" applyFont="1" applyBorder="1" applyAlignment="1">
      <alignment horizontal="center" vertical="center" wrapText="1"/>
    </xf>
    <xf numFmtId="0" fontId="29" fillId="0" borderId="11" xfId="0" applyFont="1" applyBorder="1"/>
    <xf numFmtId="0" fontId="29" fillId="0" borderId="12" xfId="0" applyFont="1" applyBorder="1"/>
    <xf numFmtId="0" fontId="0" fillId="0" borderId="64" xfId="0" applyBorder="1"/>
    <xf numFmtId="0" fontId="6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32" fillId="0" borderId="1" xfId="0" applyFont="1" applyFill="1" applyBorder="1" applyAlignment="1">
      <alignment wrapText="1"/>
    </xf>
    <xf numFmtId="0" fontId="49" fillId="0" borderId="2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 wrapText="1"/>
    </xf>
    <xf numFmtId="0" fontId="49" fillId="0" borderId="22" xfId="0" applyFont="1" applyBorder="1" applyAlignment="1">
      <alignment horizontal="center" vertical="center" wrapText="1"/>
    </xf>
    <xf numFmtId="0" fontId="49" fillId="0" borderId="4" xfId="0" applyFont="1" applyBorder="1" applyAlignment="1">
      <alignment horizontal="center" vertical="center" wrapText="1"/>
    </xf>
    <xf numFmtId="0" fontId="40" fillId="0" borderId="22" xfId="0" applyFont="1" applyBorder="1" applyAlignment="1">
      <alignment horizontal="center" vertical="center" wrapText="1"/>
    </xf>
    <xf numFmtId="0" fontId="40" fillId="0" borderId="3" xfId="0" applyFont="1" applyBorder="1" applyAlignment="1">
      <alignment vertical="center" wrapText="1"/>
    </xf>
    <xf numFmtId="0" fontId="40" fillId="0" borderId="3" xfId="0" applyFont="1" applyBorder="1" applyAlignment="1">
      <alignment vertical="center" wrapText="1"/>
    </xf>
    <xf numFmtId="0" fontId="40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40" fillId="0" borderId="22" xfId="0" applyFont="1" applyBorder="1" applyAlignment="1">
      <alignment vertical="center" wrapText="1"/>
    </xf>
    <xf numFmtId="0" fontId="40" fillId="0" borderId="3" xfId="0" applyFont="1" applyBorder="1" applyAlignment="1">
      <alignment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1" fillId="0" borderId="11" xfId="0" applyFont="1" applyBorder="1"/>
    <xf numFmtId="0" fontId="6" fillId="0" borderId="12" xfId="0" applyFont="1" applyBorder="1"/>
    <xf numFmtId="0" fontId="1" fillId="0" borderId="0" xfId="0" applyFont="1"/>
    <xf numFmtId="0" fontId="49" fillId="0" borderId="2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49" fillId="0" borderId="3" xfId="0" applyFont="1" applyBorder="1" applyAlignment="1">
      <alignment vertical="center" wrapText="1"/>
    </xf>
    <xf numFmtId="0" fontId="40" fillId="0" borderId="22" xfId="0" applyFont="1" applyBorder="1" applyAlignment="1">
      <alignment vertical="center" wrapText="1"/>
    </xf>
    <xf numFmtId="0" fontId="50" fillId="0" borderId="0" xfId="0" applyFont="1" applyAlignment="1">
      <alignment vertical="center"/>
    </xf>
    <xf numFmtId="0" fontId="6" fillId="0" borderId="22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22" xfId="0" applyFont="1" applyBorder="1" applyAlignment="1">
      <alignment vertical="center" wrapText="1"/>
    </xf>
    <xf numFmtId="0" fontId="13" fillId="0" borderId="4" xfId="0" applyFont="1" applyBorder="1" applyAlignment="1">
      <alignment horizontal="justify" vertical="center" wrapText="1"/>
    </xf>
    <xf numFmtId="0" fontId="6" fillId="0" borderId="11" xfId="0" applyFont="1" applyBorder="1" applyAlignment="1">
      <alignment horizontal="right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22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28" fillId="0" borderId="22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52" fillId="0" borderId="3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wrapText="1"/>
    </xf>
    <xf numFmtId="0" fontId="31" fillId="0" borderId="11" xfId="0" applyFont="1" applyBorder="1" applyAlignment="1">
      <alignment horizontal="center" vertical="center" wrapText="1"/>
    </xf>
    <xf numFmtId="0" fontId="31" fillId="0" borderId="45" xfId="0" applyFont="1" applyBorder="1" applyAlignment="1">
      <alignment horizontal="center" vertical="center" wrapText="1"/>
    </xf>
    <xf numFmtId="0" fontId="31" fillId="0" borderId="25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/>
    </xf>
    <xf numFmtId="0" fontId="31" fillId="0" borderId="12" xfId="0" applyFont="1" applyBorder="1" applyAlignment="1">
      <alignment horizontal="center"/>
    </xf>
    <xf numFmtId="0" fontId="40" fillId="0" borderId="3" xfId="0" applyFont="1" applyBorder="1" applyAlignment="1">
      <alignment vertical="justify"/>
    </xf>
    <xf numFmtId="0" fontId="6" fillId="0" borderId="0" xfId="0" applyFont="1"/>
    <xf numFmtId="0" fontId="49" fillId="0" borderId="65" xfId="0" applyFont="1" applyBorder="1" applyAlignment="1">
      <alignment horizontal="center" vertical="center" wrapText="1"/>
    </xf>
    <xf numFmtId="0" fontId="7" fillId="0" borderId="66" xfId="0" applyFont="1" applyBorder="1" applyAlignment="1">
      <alignment horizontal="center" vertical="center" wrapText="1"/>
    </xf>
    <xf numFmtId="0" fontId="7" fillId="0" borderId="67" xfId="0" applyFont="1" applyBorder="1" applyAlignment="1">
      <alignment horizontal="center" vertical="center" wrapText="1"/>
    </xf>
    <xf numFmtId="0" fontId="7" fillId="0" borderId="68" xfId="0" applyFont="1" applyBorder="1" applyAlignment="1">
      <alignment horizontal="center" vertical="center" wrapText="1"/>
    </xf>
    <xf numFmtId="0" fontId="49" fillId="0" borderId="66" xfId="0" applyFont="1" applyBorder="1" applyAlignment="1">
      <alignment horizontal="center" vertical="center" wrapText="1"/>
    </xf>
    <xf numFmtId="0" fontId="49" fillId="0" borderId="67" xfId="0" applyFont="1" applyBorder="1" applyAlignment="1">
      <alignment horizontal="center" vertical="center" wrapText="1"/>
    </xf>
    <xf numFmtId="0" fontId="49" fillId="0" borderId="68" xfId="0" applyFont="1" applyBorder="1" applyAlignment="1">
      <alignment horizontal="center" vertical="center" wrapText="1"/>
    </xf>
    <xf numFmtId="0" fontId="49" fillId="0" borderId="69" xfId="0" applyFont="1" applyBorder="1" applyAlignment="1">
      <alignment horizontal="center" vertical="center" wrapText="1"/>
    </xf>
    <xf numFmtId="0" fontId="7" fillId="0" borderId="69" xfId="0" applyFont="1" applyBorder="1" applyAlignment="1">
      <alignment horizontal="center" vertical="center" wrapText="1"/>
    </xf>
    <xf numFmtId="0" fontId="33" fillId="0" borderId="66" xfId="0" applyFont="1" applyBorder="1" applyAlignment="1">
      <alignment horizontal="center" vertical="center" wrapText="1"/>
    </xf>
    <xf numFmtId="0" fontId="33" fillId="0" borderId="68" xfId="0" applyFont="1" applyBorder="1" applyAlignment="1">
      <alignment horizontal="center" vertical="center" wrapText="1"/>
    </xf>
    <xf numFmtId="0" fontId="7" fillId="0" borderId="70" xfId="0" applyFont="1" applyBorder="1" applyAlignment="1">
      <alignment horizontal="center" vertical="center" wrapText="1"/>
    </xf>
    <xf numFmtId="0" fontId="49" fillId="0" borderId="71" xfId="0" applyFont="1" applyBorder="1" applyAlignment="1">
      <alignment horizontal="center" vertical="center" wrapText="1"/>
    </xf>
    <xf numFmtId="0" fontId="49" fillId="0" borderId="72" xfId="0" applyFont="1" applyBorder="1" applyAlignment="1">
      <alignment horizontal="center" vertical="center" wrapText="1"/>
    </xf>
    <xf numFmtId="0" fontId="49" fillId="0" borderId="73" xfId="0" applyFont="1" applyBorder="1" applyAlignment="1">
      <alignment horizontal="center" vertical="center" wrapText="1"/>
    </xf>
    <xf numFmtId="0" fontId="49" fillId="0" borderId="74" xfId="0" applyFont="1" applyBorder="1" applyAlignment="1">
      <alignment horizontal="center" vertical="center" wrapText="1"/>
    </xf>
    <xf numFmtId="0" fontId="49" fillId="0" borderId="75" xfId="0" applyFont="1" applyBorder="1" applyAlignment="1">
      <alignment horizontal="center" vertical="center" wrapText="1"/>
    </xf>
    <xf numFmtId="0" fontId="7" fillId="0" borderId="75" xfId="0" applyFont="1" applyBorder="1" applyAlignment="1">
      <alignment horizontal="center" vertical="center" wrapText="1"/>
    </xf>
    <xf numFmtId="0" fontId="7" fillId="0" borderId="74" xfId="0" applyFont="1" applyBorder="1" applyAlignment="1">
      <alignment horizontal="center" vertical="center" wrapText="1"/>
    </xf>
    <xf numFmtId="0" fontId="40" fillId="0" borderId="76" xfId="0" applyFont="1" applyBorder="1" applyAlignment="1">
      <alignment horizontal="center" vertical="center" wrapText="1"/>
    </xf>
    <xf numFmtId="0" fontId="7" fillId="0" borderId="77" xfId="0" applyFont="1" applyBorder="1" applyAlignment="1">
      <alignment horizontal="center" vertical="center" wrapText="1"/>
    </xf>
    <xf numFmtId="0" fontId="7" fillId="0" borderId="78" xfId="0" applyFont="1" applyBorder="1" applyAlignment="1">
      <alignment horizontal="center" vertical="center" wrapText="1"/>
    </xf>
    <xf numFmtId="0" fontId="7" fillId="0" borderId="79" xfId="0" applyFont="1" applyBorder="1" applyAlignment="1">
      <alignment horizontal="center" vertical="center" wrapText="1"/>
    </xf>
    <xf numFmtId="0" fontId="40" fillId="0" borderId="74" xfId="0" applyFont="1" applyBorder="1" applyAlignment="1">
      <alignment horizontal="center" vertical="center" wrapText="1"/>
    </xf>
    <xf numFmtId="0" fontId="40" fillId="0" borderId="74" xfId="0" applyFont="1" applyBorder="1" applyAlignment="1">
      <alignment vertical="center" wrapText="1"/>
    </xf>
    <xf numFmtId="0" fontId="49" fillId="0" borderId="82" xfId="0" applyFont="1" applyBorder="1" applyAlignment="1">
      <alignment horizontal="center" vertical="center" wrapText="1"/>
    </xf>
    <xf numFmtId="0" fontId="6" fillId="0" borderId="77" xfId="0" applyFont="1" applyBorder="1" applyAlignment="1">
      <alignment horizontal="center" vertical="center" wrapText="1"/>
    </xf>
    <xf numFmtId="0" fontId="6" fillId="0" borderId="78" xfId="0" applyFont="1" applyBorder="1" applyAlignment="1">
      <alignment horizontal="center" vertical="center" wrapText="1"/>
    </xf>
    <xf numFmtId="0" fontId="6" fillId="0" borderId="79" xfId="0" applyFont="1" applyBorder="1" applyAlignment="1">
      <alignment horizontal="center" vertical="center" wrapText="1"/>
    </xf>
    <xf numFmtId="0" fontId="40" fillId="0" borderId="82" xfId="0" applyFont="1" applyBorder="1" applyAlignment="1">
      <alignment horizontal="center" vertical="center" wrapText="1"/>
    </xf>
    <xf numFmtId="0" fontId="40" fillId="0" borderId="75" xfId="0" applyFont="1" applyBorder="1" applyAlignment="1">
      <alignment horizontal="center" vertical="center" wrapText="1"/>
    </xf>
    <xf numFmtId="0" fontId="40" fillId="0" borderId="76" xfId="0" applyFont="1" applyBorder="1" applyAlignment="1">
      <alignment vertical="center" wrapText="1"/>
    </xf>
    <xf numFmtId="0" fontId="40" fillId="0" borderId="76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center" vertical="center" wrapText="1"/>
    </xf>
    <xf numFmtId="0" fontId="7" fillId="0" borderId="93" xfId="0" applyFont="1" applyBorder="1" applyAlignment="1">
      <alignment horizontal="center" vertical="center" wrapText="1"/>
    </xf>
    <xf numFmtId="0" fontId="7" fillId="0" borderId="94" xfId="0" applyFont="1" applyBorder="1" applyAlignment="1">
      <alignment horizontal="center" vertical="center" wrapText="1"/>
    </xf>
    <xf numFmtId="0" fontId="7" fillId="0" borderId="95" xfId="0" applyFont="1" applyBorder="1" applyAlignment="1">
      <alignment horizontal="center" vertical="center" wrapText="1"/>
    </xf>
    <xf numFmtId="0" fontId="53" fillId="0" borderId="96" xfId="0" applyFont="1" applyBorder="1" applyAlignment="1">
      <alignment horizontal="center" vertical="center" wrapText="1"/>
    </xf>
    <xf numFmtId="0" fontId="49" fillId="0" borderId="96" xfId="0" applyFont="1" applyBorder="1" applyAlignment="1">
      <alignment horizontal="center" vertical="center" wrapText="1"/>
    </xf>
    <xf numFmtId="0" fontId="40" fillId="0" borderId="97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3" fillId="0" borderId="0" xfId="0" applyFont="1" applyBorder="1" applyAlignment="1">
      <alignment horizontal="center" vertical="center" wrapText="1"/>
    </xf>
    <xf numFmtId="0" fontId="49" fillId="0" borderId="0" xfId="0" applyFont="1" applyBorder="1" applyAlignment="1">
      <alignment horizontal="center" vertical="center" wrapText="1"/>
    </xf>
    <xf numFmtId="9" fontId="13" fillId="0" borderId="0" xfId="0" applyNumberFormat="1" applyFont="1" applyFill="1" applyBorder="1" applyAlignment="1">
      <alignment horizontal="center" vertical="center"/>
    </xf>
    <xf numFmtId="0" fontId="40" fillId="0" borderId="0" xfId="0" applyFont="1" applyBorder="1" applyAlignment="1">
      <alignment horizontal="center" vertical="center" wrapText="1"/>
    </xf>
    <xf numFmtId="0" fontId="54" fillId="0" borderId="0" xfId="0" applyFont="1"/>
    <xf numFmtId="0" fontId="15" fillId="0" borderId="80" xfId="0" applyFont="1" applyBorder="1" applyAlignment="1">
      <alignment horizontal="center" vertical="center" wrapText="1"/>
    </xf>
    <xf numFmtId="0" fontId="15" fillId="0" borderId="81" xfId="0" applyFont="1" applyBorder="1" applyAlignment="1">
      <alignment horizontal="center" vertical="center" wrapText="1"/>
    </xf>
    <xf numFmtId="0" fontId="15" fillId="0" borderId="73" xfId="0" applyFont="1" applyBorder="1" applyAlignment="1">
      <alignment horizontal="center" vertical="center" wrapText="1"/>
    </xf>
    <xf numFmtId="0" fontId="15" fillId="0" borderId="74" xfId="0" applyFont="1" applyBorder="1" applyAlignment="1">
      <alignment horizontal="center" vertical="center" wrapText="1"/>
    </xf>
    <xf numFmtId="9" fontId="49" fillId="0" borderId="74" xfId="0" applyNumberFormat="1" applyFont="1" applyBorder="1" applyAlignment="1">
      <alignment horizontal="center" vertical="center" wrapText="1"/>
    </xf>
    <xf numFmtId="0" fontId="15" fillId="0" borderId="71" xfId="0" applyFont="1" applyBorder="1" applyAlignment="1">
      <alignment horizontal="center" vertical="center" wrapText="1"/>
    </xf>
    <xf numFmtId="0" fontId="15" fillId="0" borderId="83" xfId="0" applyFont="1" applyBorder="1" applyAlignment="1">
      <alignment horizontal="center" vertical="center" wrapText="1"/>
    </xf>
    <xf numFmtId="0" fontId="15" fillId="0" borderId="75" xfId="0" applyFont="1" applyBorder="1" applyAlignment="1">
      <alignment horizontal="center" vertical="center" wrapText="1"/>
    </xf>
    <xf numFmtId="0" fontId="53" fillId="0" borderId="74" xfId="0" applyFont="1" applyBorder="1" applyAlignment="1">
      <alignment horizontal="center" vertical="center" wrapText="1"/>
    </xf>
    <xf numFmtId="0" fontId="15" fillId="0" borderId="82" xfId="0" applyFont="1" applyBorder="1" applyAlignment="1">
      <alignment horizontal="center" vertical="center" wrapText="1"/>
    </xf>
    <xf numFmtId="9" fontId="49" fillId="0" borderId="82" xfId="0" applyNumberFormat="1" applyFont="1" applyBorder="1" applyAlignment="1">
      <alignment horizontal="center" vertical="center" wrapText="1"/>
    </xf>
    <xf numFmtId="0" fontId="40" fillId="0" borderId="98" xfId="0" applyFont="1" applyBorder="1" applyAlignment="1">
      <alignment horizontal="center" vertical="center" wrapText="1"/>
    </xf>
    <xf numFmtId="0" fontId="15" fillId="0" borderId="75" xfId="0" applyFont="1" applyBorder="1" applyAlignment="1">
      <alignment horizontal="center" vertical="center" wrapText="1"/>
    </xf>
    <xf numFmtId="9" fontId="49" fillId="0" borderId="75" xfId="0" applyNumberFormat="1" applyFont="1" applyBorder="1" applyAlignment="1">
      <alignment horizontal="center" vertical="center" wrapText="1"/>
    </xf>
    <xf numFmtId="0" fontId="40" fillId="0" borderId="99" xfId="0" applyFont="1" applyBorder="1" applyAlignment="1">
      <alignment horizontal="center" vertical="center" wrapText="1"/>
    </xf>
    <xf numFmtId="0" fontId="15" fillId="0" borderId="71" xfId="0" applyFont="1" applyBorder="1" applyAlignment="1">
      <alignment horizontal="center" vertical="center" wrapText="1"/>
    </xf>
    <xf numFmtId="0" fontId="15" fillId="0" borderId="72" xfId="0" applyFont="1" applyBorder="1" applyAlignment="1">
      <alignment horizontal="center" vertical="center" wrapText="1"/>
    </xf>
    <xf numFmtId="0" fontId="1" fillId="0" borderId="0" xfId="0" applyFont="1" applyFill="1"/>
    <xf numFmtId="0" fontId="53" fillId="0" borderId="21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 wrapText="1"/>
    </xf>
    <xf numFmtId="0" fontId="53" fillId="0" borderId="22" xfId="0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9" fontId="15" fillId="0" borderId="3" xfId="0" applyNumberFormat="1" applyFont="1" applyBorder="1" applyAlignment="1">
      <alignment horizontal="center" vertical="center" wrapText="1"/>
    </xf>
    <xf numFmtId="0" fontId="40" fillId="0" borderId="4" xfId="0" applyFont="1" applyBorder="1" applyAlignment="1">
      <alignment horizontal="left" vertical="center" wrapText="1"/>
    </xf>
    <xf numFmtId="0" fontId="40" fillId="0" borderId="4" xfId="0" applyFont="1" applyBorder="1" applyAlignment="1">
      <alignment horizontal="center" vertical="center" wrapText="1"/>
    </xf>
    <xf numFmtId="9" fontId="15" fillId="0" borderId="3" xfId="0" applyNumberFormat="1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22" xfId="0" applyFont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53" fillId="0" borderId="11" xfId="0" applyFont="1" applyBorder="1" applyAlignment="1">
      <alignment horizontal="center" vertical="center" wrapText="1"/>
    </xf>
    <xf numFmtId="0" fontId="49" fillId="0" borderId="12" xfId="0" applyFont="1" applyBorder="1" applyAlignment="1">
      <alignment horizontal="center" vertical="center" wrapText="1"/>
    </xf>
    <xf numFmtId="0" fontId="56" fillId="0" borderId="0" xfId="0" applyFont="1"/>
    <xf numFmtId="0" fontId="6" fillId="0" borderId="100" xfId="0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 wrapText="1"/>
    </xf>
    <xf numFmtId="0" fontId="6" fillId="0" borderId="68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 vertical="center" wrapText="1"/>
    </xf>
    <xf numFmtId="0" fontId="6" fillId="0" borderId="69" xfId="0" applyFont="1" applyBorder="1" applyAlignment="1">
      <alignment horizontal="center" vertical="center" wrapText="1"/>
    </xf>
    <xf numFmtId="0" fontId="6" fillId="0" borderId="101" xfId="0" applyFont="1" applyBorder="1" applyAlignment="1">
      <alignment horizontal="center" vertical="center" wrapText="1"/>
    </xf>
    <xf numFmtId="0" fontId="6" fillId="0" borderId="102" xfId="0" applyFont="1" applyBorder="1" applyAlignment="1">
      <alignment horizontal="center" vertical="center" wrapText="1"/>
    </xf>
    <xf numFmtId="0" fontId="6" fillId="0" borderId="96" xfId="0" applyFont="1" applyBorder="1" applyAlignment="1">
      <alignment horizontal="center" vertical="center" wrapText="1"/>
    </xf>
    <xf numFmtId="0" fontId="6" fillId="0" borderId="103" xfId="0" applyFont="1" applyBorder="1" applyAlignment="1">
      <alignment horizontal="center" vertical="center" wrapText="1"/>
    </xf>
    <xf numFmtId="0" fontId="6" fillId="0" borderId="104" xfId="0" applyFont="1" applyBorder="1" applyAlignment="1">
      <alignment horizontal="center" vertical="center" wrapText="1"/>
    </xf>
    <xf numFmtId="0" fontId="7" fillId="0" borderId="100" xfId="0" applyFont="1" applyBorder="1" applyAlignment="1">
      <alignment horizontal="center" vertical="center" wrapText="1"/>
    </xf>
    <xf numFmtId="0" fontId="7" fillId="0" borderId="70" xfId="0" applyFont="1" applyBorder="1" applyAlignment="1">
      <alignment horizontal="center" vertical="center" wrapText="1"/>
    </xf>
    <xf numFmtId="0" fontId="13" fillId="0" borderId="80" xfId="0" applyFont="1" applyBorder="1" applyAlignment="1">
      <alignment horizontal="center" vertical="center" wrapText="1"/>
    </xf>
    <xf numFmtId="0" fontId="13" fillId="0" borderId="82" xfId="0" applyFont="1" applyBorder="1" applyAlignment="1">
      <alignment horizontal="center" vertical="center" wrapText="1"/>
    </xf>
    <xf numFmtId="9" fontId="13" fillId="0" borderId="74" xfId="0" applyNumberFormat="1" applyFont="1" applyBorder="1" applyAlignment="1">
      <alignment horizontal="center" vertical="center" wrapText="1"/>
    </xf>
    <xf numFmtId="0" fontId="13" fillId="0" borderId="76" xfId="0" applyFont="1" applyBorder="1" applyAlignment="1">
      <alignment vertical="center" wrapText="1"/>
    </xf>
    <xf numFmtId="0" fontId="13" fillId="0" borderId="71" xfId="0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0" fontId="13" fillId="0" borderId="86" xfId="0" applyFont="1" applyBorder="1" applyAlignment="1">
      <alignment horizontal="center" vertical="center" wrapText="1"/>
    </xf>
    <xf numFmtId="0" fontId="13" fillId="0" borderId="88" xfId="0" applyFont="1" applyBorder="1" applyAlignment="1">
      <alignment horizontal="center" vertical="center" wrapText="1"/>
    </xf>
    <xf numFmtId="0" fontId="13" fillId="0" borderId="76" xfId="0" applyFont="1" applyBorder="1" applyAlignment="1">
      <alignment horizontal="left" vertical="center" wrapText="1"/>
    </xf>
    <xf numFmtId="0" fontId="13" fillId="0" borderId="71" xfId="0" applyFont="1" applyBorder="1" applyAlignment="1">
      <alignment horizontal="center" vertical="center" wrapText="1"/>
    </xf>
    <xf numFmtId="0" fontId="13" fillId="0" borderId="96" xfId="0" applyFont="1" applyBorder="1" applyAlignment="1">
      <alignment horizontal="center" vertical="center" wrapText="1"/>
    </xf>
    <xf numFmtId="0" fontId="13" fillId="0" borderId="97" xfId="0" applyFont="1" applyBorder="1" applyAlignment="1">
      <alignment horizontal="center" vertical="center" wrapText="1"/>
    </xf>
    <xf numFmtId="0" fontId="53" fillId="0" borderId="100" xfId="0" applyFont="1" applyBorder="1" applyAlignment="1">
      <alignment horizontal="center" vertical="center" wrapText="1"/>
    </xf>
    <xf numFmtId="0" fontId="53" fillId="0" borderId="67" xfId="0" applyFont="1" applyBorder="1" applyAlignment="1">
      <alignment horizontal="center" vertical="center" wrapText="1"/>
    </xf>
    <xf numFmtId="0" fontId="53" fillId="0" borderId="68" xfId="0" applyFont="1" applyBorder="1" applyAlignment="1">
      <alignment horizontal="center" vertical="center" wrapText="1"/>
    </xf>
    <xf numFmtId="0" fontId="53" fillId="0" borderId="69" xfId="0" applyFont="1" applyBorder="1" applyAlignment="1">
      <alignment horizontal="center" vertical="center" wrapText="1"/>
    </xf>
    <xf numFmtId="0" fontId="7" fillId="0" borderId="101" xfId="0" applyFont="1" applyBorder="1" applyAlignment="1">
      <alignment horizontal="center" vertical="center" wrapText="1"/>
    </xf>
    <xf numFmtId="0" fontId="53" fillId="0" borderId="71" xfId="0" applyFont="1" applyBorder="1" applyAlignment="1">
      <alignment horizontal="center" vertical="center" wrapText="1"/>
    </xf>
    <xf numFmtId="0" fontId="53" fillId="0" borderId="75" xfId="0" applyFont="1" applyBorder="1" applyAlignment="1">
      <alignment horizontal="center" vertical="center" wrapText="1"/>
    </xf>
    <xf numFmtId="0" fontId="7" fillId="0" borderId="99" xfId="0" applyFont="1" applyBorder="1" applyAlignment="1">
      <alignment horizontal="center" vertical="center" wrapText="1"/>
    </xf>
    <xf numFmtId="9" fontId="15" fillId="0" borderId="74" xfId="0" applyNumberFormat="1" applyFont="1" applyBorder="1" applyAlignment="1">
      <alignment horizontal="center" vertical="center" wrapText="1"/>
    </xf>
    <xf numFmtId="0" fontId="29" fillId="0" borderId="93" xfId="0" applyFont="1" applyBorder="1" applyAlignment="1">
      <alignment horizontal="center" vertical="center" wrapText="1"/>
    </xf>
    <xf numFmtId="0" fontId="29" fillId="0" borderId="94" xfId="0" applyFont="1" applyBorder="1" applyAlignment="1">
      <alignment horizontal="center" vertical="center" wrapText="1"/>
    </xf>
    <xf numFmtId="0" fontId="29" fillId="0" borderId="95" xfId="0" applyFont="1" applyBorder="1" applyAlignment="1">
      <alignment horizontal="center" vertical="center" wrapText="1"/>
    </xf>
    <xf numFmtId="0" fontId="29" fillId="0" borderId="96" xfId="0" applyFont="1" applyBorder="1" applyAlignment="1">
      <alignment horizontal="center" vertical="center" wrapText="1"/>
    </xf>
    <xf numFmtId="0" fontId="29" fillId="0" borderId="105" xfId="0" applyFont="1" applyBorder="1" applyAlignment="1">
      <alignment horizontal="center" vertical="center" wrapText="1"/>
    </xf>
    <xf numFmtId="0" fontId="29" fillId="0" borderId="97" xfId="0" applyFont="1" applyBorder="1" applyAlignment="1">
      <alignment horizontal="center" vertical="center" wrapText="1"/>
    </xf>
    <xf numFmtId="0" fontId="57" fillId="0" borderId="65" xfId="0" applyFont="1" applyBorder="1" applyAlignment="1">
      <alignment horizontal="center" vertical="center" wrapText="1"/>
    </xf>
    <xf numFmtId="0" fontId="33" fillId="0" borderId="67" xfId="0" applyFont="1" applyBorder="1" applyAlignment="1">
      <alignment horizontal="center" vertical="center" wrapText="1"/>
    </xf>
    <xf numFmtId="0" fontId="57" fillId="0" borderId="66" xfId="0" applyFont="1" applyBorder="1" applyAlignment="1">
      <alignment horizontal="center" vertical="center" wrapText="1"/>
    </xf>
    <xf numFmtId="0" fontId="57" fillId="0" borderId="67" xfId="0" applyFont="1" applyBorder="1" applyAlignment="1">
      <alignment horizontal="center" vertical="center" wrapText="1"/>
    </xf>
    <xf numFmtId="0" fontId="57" fillId="0" borderId="68" xfId="0" applyFont="1" applyBorder="1" applyAlignment="1">
      <alignment horizontal="center" vertical="center" wrapText="1"/>
    </xf>
    <xf numFmtId="0" fontId="57" fillId="0" borderId="69" xfId="0" applyFont="1" applyBorder="1" applyAlignment="1">
      <alignment horizontal="center" vertical="center" wrapText="1"/>
    </xf>
    <xf numFmtId="0" fontId="33" fillId="0" borderId="69" xfId="0" applyFont="1" applyBorder="1" applyAlignment="1">
      <alignment horizontal="center" vertical="center" wrapText="1"/>
    </xf>
    <xf numFmtId="0" fontId="33" fillId="0" borderId="70" xfId="0" applyFont="1" applyBorder="1" applyAlignment="1">
      <alignment horizontal="center" vertical="center" wrapText="1"/>
    </xf>
    <xf numFmtId="0" fontId="57" fillId="0" borderId="71" xfId="0" applyFont="1" applyBorder="1" applyAlignment="1">
      <alignment horizontal="center" vertical="center" wrapText="1"/>
    </xf>
    <xf numFmtId="0" fontId="57" fillId="0" borderId="72" xfId="0" applyFont="1" applyBorder="1" applyAlignment="1">
      <alignment horizontal="center" vertical="center" wrapText="1"/>
    </xf>
    <xf numFmtId="0" fontId="57" fillId="0" borderId="73" xfId="0" applyFont="1" applyBorder="1" applyAlignment="1">
      <alignment horizontal="center" vertical="center" wrapText="1"/>
    </xf>
    <xf numFmtId="0" fontId="57" fillId="0" borderId="74" xfId="0" applyFont="1" applyBorder="1" applyAlignment="1">
      <alignment horizontal="center" vertical="center" wrapText="1"/>
    </xf>
    <xf numFmtId="0" fontId="57" fillId="0" borderId="75" xfId="0" applyFont="1" applyBorder="1" applyAlignment="1">
      <alignment horizontal="center" vertical="center" wrapText="1"/>
    </xf>
    <xf numFmtId="0" fontId="33" fillId="0" borderId="75" xfId="0" applyFont="1" applyBorder="1" applyAlignment="1">
      <alignment horizontal="center" vertical="center" wrapText="1"/>
    </xf>
    <xf numFmtId="0" fontId="33" fillId="0" borderId="74" xfId="0" applyFont="1" applyBorder="1" applyAlignment="1">
      <alignment horizontal="center" vertical="center" wrapText="1"/>
    </xf>
    <xf numFmtId="0" fontId="36" fillId="0" borderId="76" xfId="0" applyFont="1" applyBorder="1" applyAlignment="1">
      <alignment horizontal="center" vertical="center" wrapText="1"/>
    </xf>
    <xf numFmtId="0" fontId="33" fillId="0" borderId="77" xfId="0" applyFont="1" applyBorder="1" applyAlignment="1">
      <alignment horizontal="center" vertical="center" wrapText="1"/>
    </xf>
    <xf numFmtId="0" fontId="33" fillId="0" borderId="78" xfId="0" applyFont="1" applyBorder="1" applyAlignment="1">
      <alignment horizontal="center" vertical="center" wrapText="1"/>
    </xf>
    <xf numFmtId="0" fontId="33" fillId="0" borderId="79" xfId="0" applyFont="1" applyBorder="1" applyAlignment="1">
      <alignment horizontal="center" vertical="center" wrapText="1"/>
    </xf>
    <xf numFmtId="0" fontId="36" fillId="0" borderId="80" xfId="0" applyFont="1" applyBorder="1" applyAlignment="1">
      <alignment horizontal="center" vertical="center" wrapText="1"/>
    </xf>
    <xf numFmtId="0" fontId="36" fillId="0" borderId="81" xfId="0" applyFont="1" applyBorder="1" applyAlignment="1">
      <alignment horizontal="center" vertical="center" wrapText="1"/>
    </xf>
    <xf numFmtId="0" fontId="36" fillId="0" borderId="73" xfId="0" applyFont="1" applyBorder="1" applyAlignment="1">
      <alignment horizontal="center" vertical="center" wrapText="1"/>
    </xf>
    <xf numFmtId="0" fontId="36" fillId="0" borderId="74" xfId="0" applyFont="1" applyBorder="1" applyAlignment="1">
      <alignment horizontal="center" vertical="center" wrapText="1"/>
    </xf>
    <xf numFmtId="0" fontId="36" fillId="0" borderId="74" xfId="0" applyFont="1" applyBorder="1" applyAlignment="1">
      <alignment vertical="center" wrapText="1"/>
    </xf>
    <xf numFmtId="0" fontId="58" fillId="0" borderId="74" xfId="0" applyFont="1" applyBorder="1" applyAlignment="1">
      <alignment horizontal="center" vertical="center" wrapText="1"/>
    </xf>
    <xf numFmtId="0" fontId="57" fillId="0" borderId="82" xfId="0" applyFont="1" applyBorder="1" applyAlignment="1">
      <alignment horizontal="center" vertical="center" wrapText="1"/>
    </xf>
    <xf numFmtId="0" fontId="36" fillId="0" borderId="71" xfId="0" applyFont="1" applyBorder="1" applyAlignment="1">
      <alignment horizontal="center" vertical="center" wrapText="1"/>
    </xf>
    <xf numFmtId="0" fontId="36" fillId="0" borderId="83" xfId="0" applyFont="1" applyBorder="1" applyAlignment="1">
      <alignment horizontal="center" vertical="center" wrapText="1"/>
    </xf>
    <xf numFmtId="0" fontId="36" fillId="0" borderId="75" xfId="0" applyFont="1" applyBorder="1" applyAlignment="1">
      <alignment horizontal="center" vertical="center" wrapText="1"/>
    </xf>
    <xf numFmtId="0" fontId="5" fillId="0" borderId="77" xfId="0" applyFont="1" applyBorder="1" applyAlignment="1">
      <alignment horizontal="center" vertical="center" wrapText="1"/>
    </xf>
    <xf numFmtId="0" fontId="5" fillId="0" borderId="78" xfId="0" applyFont="1" applyBorder="1" applyAlignment="1">
      <alignment horizontal="center" vertical="center" wrapText="1"/>
    </xf>
    <xf numFmtId="0" fontId="5" fillId="0" borderId="79" xfId="0" applyFont="1" applyBorder="1" applyAlignment="1">
      <alignment horizontal="center" vertical="center" wrapText="1"/>
    </xf>
    <xf numFmtId="9" fontId="14" fillId="0" borderId="84" xfId="0" applyNumberFormat="1" applyFont="1" applyFill="1" applyBorder="1" applyAlignment="1">
      <alignment horizontal="center" vertical="center"/>
    </xf>
    <xf numFmtId="9" fontId="14" fillId="0" borderId="85" xfId="0" applyNumberFormat="1" applyFont="1" applyFill="1" applyBorder="1" applyAlignment="1">
      <alignment horizontal="center" vertical="center"/>
    </xf>
    <xf numFmtId="0" fontId="36" fillId="0" borderId="86" xfId="0" applyFont="1" applyBorder="1" applyAlignment="1">
      <alignment horizontal="center" vertical="center" wrapText="1"/>
    </xf>
    <xf numFmtId="0" fontId="36" fillId="0" borderId="87" xfId="0" applyFont="1" applyBorder="1" applyAlignment="1">
      <alignment horizontal="center" vertical="center" wrapText="1"/>
    </xf>
    <xf numFmtId="9" fontId="14" fillId="0" borderId="89" xfId="0" applyNumberFormat="1" applyFont="1" applyFill="1" applyBorder="1" applyAlignment="1">
      <alignment horizontal="center" vertical="center"/>
    </xf>
    <xf numFmtId="9" fontId="14" fillId="0" borderId="90" xfId="0" applyNumberFormat="1" applyFont="1" applyFill="1" applyBorder="1" applyAlignment="1">
      <alignment horizontal="center" vertical="center"/>
    </xf>
    <xf numFmtId="9" fontId="14" fillId="0" borderId="91" xfId="0" applyNumberFormat="1" applyFont="1" applyFill="1" applyBorder="1" applyAlignment="1">
      <alignment horizontal="center" vertical="center"/>
    </xf>
    <xf numFmtId="9" fontId="14" fillId="0" borderId="92" xfId="0" applyNumberFormat="1" applyFont="1" applyFill="1" applyBorder="1" applyAlignment="1">
      <alignment horizontal="center" vertical="center"/>
    </xf>
    <xf numFmtId="0" fontId="36" fillId="0" borderId="76" xfId="0" applyFont="1" applyBorder="1" applyAlignment="1">
      <alignment horizontal="left" vertical="center" wrapText="1"/>
    </xf>
    <xf numFmtId="9" fontId="14" fillId="0" borderId="30" xfId="0" applyNumberFormat="1" applyFont="1" applyFill="1" applyBorder="1" applyAlignment="1">
      <alignment horizontal="center" vertical="center"/>
    </xf>
    <xf numFmtId="0" fontId="57" fillId="0" borderId="88" xfId="0" applyFont="1" applyBorder="1" applyAlignment="1">
      <alignment horizontal="center" vertical="center" wrapText="1"/>
    </xf>
    <xf numFmtId="0" fontId="35" fillId="0" borderId="71" xfId="0" applyFont="1" applyBorder="1" applyAlignment="1">
      <alignment horizontal="center" vertical="center" wrapText="1"/>
    </xf>
    <xf numFmtId="0" fontId="14" fillId="0" borderId="72" xfId="0" applyFont="1" applyBorder="1" applyAlignment="1">
      <alignment horizontal="center" vertical="center" wrapText="1"/>
    </xf>
    <xf numFmtId="0" fontId="35" fillId="0" borderId="73" xfId="0" applyFont="1" applyBorder="1" applyAlignment="1">
      <alignment horizontal="center" vertical="center" wrapText="1"/>
    </xf>
    <xf numFmtId="0" fontId="14" fillId="0" borderId="74" xfId="0" applyFont="1" applyBorder="1" applyAlignment="1">
      <alignment horizontal="center" vertical="center" wrapText="1"/>
    </xf>
    <xf numFmtId="0" fontId="33" fillId="0" borderId="93" xfId="0" applyFont="1" applyBorder="1" applyAlignment="1">
      <alignment horizontal="center" vertical="center" wrapText="1"/>
    </xf>
    <xf numFmtId="0" fontId="33" fillId="0" borderId="94" xfId="0" applyFont="1" applyBorder="1" applyAlignment="1">
      <alignment horizontal="center" vertical="center" wrapText="1"/>
    </xf>
    <xf numFmtId="0" fontId="33" fillId="0" borderId="95" xfId="0" applyFont="1" applyBorder="1" applyAlignment="1">
      <alignment horizontal="center" vertical="center" wrapText="1"/>
    </xf>
    <xf numFmtId="0" fontId="57" fillId="0" borderId="96" xfId="0" applyFont="1" applyBorder="1" applyAlignment="1">
      <alignment horizontal="center" vertical="center" wrapText="1"/>
    </xf>
    <xf numFmtId="0" fontId="36" fillId="0" borderId="97" xfId="0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0" fontId="13" fillId="0" borderId="99" xfId="0" applyFont="1" applyBorder="1" applyAlignment="1">
      <alignment horizontal="left" vertical="center" wrapText="1"/>
    </xf>
    <xf numFmtId="0" fontId="13" fillId="0" borderId="106" xfId="0" applyFont="1" applyBorder="1" applyAlignment="1">
      <alignment horizontal="center" vertical="center" wrapText="1"/>
    </xf>
    <xf numFmtId="0" fontId="13" fillId="0" borderId="107" xfId="0" applyFont="1" applyBorder="1" applyAlignment="1">
      <alignment horizontal="center" vertical="center" wrapText="1"/>
    </xf>
    <xf numFmtId="0" fontId="13" fillId="0" borderId="107" xfId="0" applyFont="1" applyBorder="1" applyAlignment="1">
      <alignment horizontal="center" vertical="center" wrapText="1"/>
    </xf>
    <xf numFmtId="0" fontId="13" fillId="0" borderId="107" xfId="0" applyFont="1" applyBorder="1" applyAlignment="1">
      <alignment vertical="center" wrapText="1"/>
    </xf>
    <xf numFmtId="9" fontId="13" fillId="0" borderId="107" xfId="0" applyNumberFormat="1" applyFont="1" applyBorder="1" applyAlignment="1">
      <alignment horizontal="center" vertical="center" wrapText="1"/>
    </xf>
    <xf numFmtId="0" fontId="13" fillId="0" borderId="108" xfId="0" applyFont="1" applyBorder="1" applyAlignment="1">
      <alignment vertical="center" wrapText="1"/>
    </xf>
    <xf numFmtId="0" fontId="13" fillId="0" borderId="109" xfId="0" applyFont="1" applyBorder="1" applyAlignment="1">
      <alignment horizontal="center" vertical="center" wrapText="1"/>
    </xf>
    <xf numFmtId="0" fontId="13" fillId="0" borderId="110" xfId="0" applyFont="1" applyBorder="1" applyAlignment="1">
      <alignment horizontal="center" vertical="center" wrapText="1"/>
    </xf>
    <xf numFmtId="0" fontId="13" fillId="0" borderId="110" xfId="0" applyFont="1" applyBorder="1" applyAlignment="1">
      <alignment horizontal="center" vertical="center" wrapText="1"/>
    </xf>
    <xf numFmtId="9" fontId="13" fillId="0" borderId="110" xfId="0" applyNumberFormat="1" applyFont="1" applyBorder="1" applyAlignment="1">
      <alignment horizontal="center" vertical="center" wrapText="1"/>
    </xf>
    <xf numFmtId="0" fontId="13" fillId="0" borderId="11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10"/>
  <sheetViews>
    <sheetView tabSelected="1" topLeftCell="A52" workbookViewId="0">
      <selection activeCell="D453" sqref="D453"/>
    </sheetView>
  </sheetViews>
  <sheetFormatPr baseColWidth="10" defaultRowHeight="15" x14ac:dyDescent="0.25"/>
  <cols>
    <col min="1" max="1" width="7.140625" customWidth="1"/>
    <col min="2" max="2" width="19.140625" customWidth="1"/>
    <col min="3" max="3" width="7.28515625" customWidth="1"/>
    <col min="4" max="4" width="33.28515625" customWidth="1"/>
    <col min="5" max="6" width="4.42578125" customWidth="1"/>
    <col min="7" max="7" width="4.140625" customWidth="1"/>
    <col min="8" max="8" width="6.140625" customWidth="1"/>
    <col min="9" max="9" width="5.28515625" customWidth="1"/>
    <col min="10" max="10" width="4.140625" customWidth="1"/>
    <col min="11" max="11" width="4.5703125" customWidth="1"/>
    <col min="12" max="12" width="5.85546875" customWidth="1"/>
    <col min="13" max="13" width="5.140625" customWidth="1"/>
    <col min="14" max="14" width="5.85546875" customWidth="1"/>
    <col min="15" max="15" width="6.42578125" customWidth="1"/>
    <col min="16" max="16" width="15.28515625" style="54" customWidth="1"/>
  </cols>
  <sheetData>
    <row r="1" spans="1:16" x14ac:dyDescent="0.25">
      <c r="D1" s="1" t="s">
        <v>0</v>
      </c>
    </row>
    <row r="2" spans="1:16" x14ac:dyDescent="0.25">
      <c r="D2" s="1" t="s">
        <v>1</v>
      </c>
    </row>
    <row r="3" spans="1:16" x14ac:dyDescent="0.25">
      <c r="D3" s="1" t="s">
        <v>2</v>
      </c>
    </row>
    <row r="4" spans="1:16" x14ac:dyDescent="0.25">
      <c r="D4" s="1" t="s">
        <v>3</v>
      </c>
    </row>
    <row r="5" spans="1:16" x14ac:dyDescent="0.25">
      <c r="D5" s="2" t="s">
        <v>4</v>
      </c>
    </row>
    <row r="6" spans="1:16" x14ac:dyDescent="0.25">
      <c r="D6" s="1" t="s">
        <v>5</v>
      </c>
    </row>
    <row r="7" spans="1:16" ht="15.75" thickBot="1" x14ac:dyDescent="0.3">
      <c r="D7" s="1" t="s">
        <v>6</v>
      </c>
    </row>
    <row r="8" spans="1:16" ht="22.5" customHeight="1" x14ac:dyDescent="0.25">
      <c r="A8" s="3" t="s">
        <v>7</v>
      </c>
      <c r="B8" s="3"/>
      <c r="C8" s="3"/>
      <c r="D8" s="3"/>
      <c r="E8" s="4" t="s">
        <v>8</v>
      </c>
      <c r="F8" s="4"/>
      <c r="G8" s="4"/>
      <c r="H8" s="4"/>
      <c r="I8" s="4"/>
      <c r="J8" s="4"/>
      <c r="K8" s="4"/>
      <c r="L8" s="5" t="s">
        <v>9</v>
      </c>
      <c r="M8" s="5" t="s">
        <v>10</v>
      </c>
      <c r="N8" s="6" t="s">
        <v>11</v>
      </c>
      <c r="O8" s="6"/>
      <c r="P8" s="55" t="s">
        <v>12</v>
      </c>
    </row>
    <row r="9" spans="1:16" ht="24.75" thickBot="1" x14ac:dyDescent="0.3">
      <c r="A9" s="8" t="s">
        <v>13</v>
      </c>
      <c r="B9" s="8" t="s">
        <v>14</v>
      </c>
      <c r="C9" s="9" t="s">
        <v>15</v>
      </c>
      <c r="D9" s="8" t="s">
        <v>16</v>
      </c>
      <c r="E9" s="8" t="s">
        <v>17</v>
      </c>
      <c r="F9" s="8" t="s">
        <v>18</v>
      </c>
      <c r="G9" s="8" t="s">
        <v>19</v>
      </c>
      <c r="H9" s="8" t="s">
        <v>20</v>
      </c>
      <c r="I9" s="10" t="s">
        <v>21</v>
      </c>
      <c r="J9" s="8" t="s">
        <v>22</v>
      </c>
      <c r="K9" s="8" t="s">
        <v>23</v>
      </c>
      <c r="L9" s="11"/>
      <c r="M9" s="11"/>
      <c r="N9" s="12" t="s">
        <v>24</v>
      </c>
      <c r="O9" s="12" t="s">
        <v>25</v>
      </c>
      <c r="P9" s="56"/>
    </row>
    <row r="10" spans="1:16" x14ac:dyDescent="0.25">
      <c r="A10" s="14" t="s">
        <v>26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 x14ac:dyDescent="0.25">
      <c r="A11" s="16" t="s">
        <v>27</v>
      </c>
      <c r="B11" s="17" t="s">
        <v>28</v>
      </c>
      <c r="C11" s="18" t="s">
        <v>29</v>
      </c>
      <c r="D11" s="19" t="s">
        <v>30</v>
      </c>
      <c r="E11" s="20">
        <v>20</v>
      </c>
      <c r="F11" s="20">
        <v>10</v>
      </c>
      <c r="G11" s="20">
        <v>0</v>
      </c>
      <c r="H11" s="20">
        <v>0</v>
      </c>
      <c r="I11" s="8">
        <v>30</v>
      </c>
      <c r="J11" s="20">
        <v>32</v>
      </c>
      <c r="K11" s="21">
        <v>62</v>
      </c>
      <c r="L11" s="8">
        <v>2.5</v>
      </c>
      <c r="M11" s="22">
        <v>5</v>
      </c>
      <c r="N11" s="23">
        <v>0.4</v>
      </c>
      <c r="O11" s="23">
        <v>0.6</v>
      </c>
      <c r="P11" s="57" t="s">
        <v>31</v>
      </c>
    </row>
    <row r="12" spans="1:16" ht="17.25" customHeight="1" x14ac:dyDescent="0.25">
      <c r="A12" s="16"/>
      <c r="B12" s="17"/>
      <c r="C12" s="18" t="s">
        <v>32</v>
      </c>
      <c r="D12" s="18" t="s">
        <v>33</v>
      </c>
      <c r="E12" s="20">
        <v>20</v>
      </c>
      <c r="F12" s="20">
        <v>10</v>
      </c>
      <c r="G12" s="20">
        <v>0</v>
      </c>
      <c r="H12" s="20">
        <v>0</v>
      </c>
      <c r="I12" s="8">
        <v>30</v>
      </c>
      <c r="J12" s="20">
        <v>33</v>
      </c>
      <c r="K12" s="21">
        <v>63</v>
      </c>
      <c r="L12" s="8">
        <v>2.5</v>
      </c>
      <c r="M12" s="22"/>
      <c r="N12" s="23">
        <v>0.4</v>
      </c>
      <c r="O12" s="23">
        <v>0.6</v>
      </c>
      <c r="P12" s="58"/>
    </row>
    <row r="13" spans="1:16" ht="30.75" customHeight="1" x14ac:dyDescent="0.25">
      <c r="A13" s="16" t="s">
        <v>34</v>
      </c>
      <c r="B13" s="17" t="s">
        <v>35</v>
      </c>
      <c r="C13" s="18" t="s">
        <v>36</v>
      </c>
      <c r="D13" s="18" t="s">
        <v>37</v>
      </c>
      <c r="E13" s="20">
        <v>20</v>
      </c>
      <c r="F13" s="20">
        <v>16</v>
      </c>
      <c r="G13" s="20">
        <v>0</v>
      </c>
      <c r="H13" s="20">
        <v>0</v>
      </c>
      <c r="I13" s="8">
        <v>36</v>
      </c>
      <c r="J13" s="20">
        <v>39</v>
      </c>
      <c r="K13" s="21">
        <v>75</v>
      </c>
      <c r="L13" s="8">
        <v>3</v>
      </c>
      <c r="M13" s="22">
        <v>6</v>
      </c>
      <c r="N13" s="23">
        <v>0.4</v>
      </c>
      <c r="O13" s="23">
        <v>0.6</v>
      </c>
      <c r="P13" s="59" t="s">
        <v>38</v>
      </c>
    </row>
    <row r="14" spans="1:16" ht="24" customHeight="1" x14ac:dyDescent="0.25">
      <c r="A14" s="16"/>
      <c r="B14" s="17"/>
      <c r="C14" s="18" t="s">
        <v>39</v>
      </c>
      <c r="D14" s="18" t="s">
        <v>40</v>
      </c>
      <c r="E14" s="20">
        <v>20</v>
      </c>
      <c r="F14" s="20">
        <v>16</v>
      </c>
      <c r="G14" s="20">
        <v>0</v>
      </c>
      <c r="H14" s="20">
        <v>0</v>
      </c>
      <c r="I14" s="8">
        <v>36</v>
      </c>
      <c r="J14" s="20">
        <v>39</v>
      </c>
      <c r="K14" s="21">
        <v>75</v>
      </c>
      <c r="L14" s="8">
        <v>3</v>
      </c>
      <c r="M14" s="22"/>
      <c r="N14" s="23">
        <v>0.4</v>
      </c>
      <c r="O14" s="23">
        <v>0.6</v>
      </c>
      <c r="P14" s="60"/>
    </row>
    <row r="15" spans="1:16" x14ac:dyDescent="0.25">
      <c r="A15" s="16" t="s">
        <v>41</v>
      </c>
      <c r="B15" s="17" t="s">
        <v>42</v>
      </c>
      <c r="C15" s="18" t="s">
        <v>43</v>
      </c>
      <c r="D15" s="19" t="s">
        <v>44</v>
      </c>
      <c r="E15" s="20">
        <v>14</v>
      </c>
      <c r="F15" s="20">
        <v>10</v>
      </c>
      <c r="G15" s="20">
        <v>0</v>
      </c>
      <c r="H15" s="20">
        <v>0</v>
      </c>
      <c r="I15" s="8">
        <v>24</v>
      </c>
      <c r="J15" s="20">
        <v>26</v>
      </c>
      <c r="K15" s="21">
        <v>50</v>
      </c>
      <c r="L15" s="8">
        <v>2</v>
      </c>
      <c r="M15" s="22">
        <v>5</v>
      </c>
      <c r="N15" s="23">
        <v>0.4</v>
      </c>
      <c r="O15" s="23">
        <v>0.6</v>
      </c>
      <c r="P15" s="57" t="s">
        <v>45</v>
      </c>
    </row>
    <row r="16" spans="1:16" x14ac:dyDescent="0.25">
      <c r="A16" s="16"/>
      <c r="B16" s="17"/>
      <c r="C16" s="18" t="s">
        <v>46</v>
      </c>
      <c r="D16" s="19" t="s">
        <v>47</v>
      </c>
      <c r="E16" s="20">
        <v>20</v>
      </c>
      <c r="F16" s="20">
        <v>16</v>
      </c>
      <c r="G16" s="20">
        <v>0</v>
      </c>
      <c r="H16" s="20">
        <v>0</v>
      </c>
      <c r="I16" s="8">
        <v>36</v>
      </c>
      <c r="J16" s="20">
        <v>39</v>
      </c>
      <c r="K16" s="21">
        <v>75</v>
      </c>
      <c r="L16" s="8">
        <v>3</v>
      </c>
      <c r="M16" s="22"/>
      <c r="N16" s="23">
        <v>0.4</v>
      </c>
      <c r="O16" s="23">
        <v>0.6</v>
      </c>
      <c r="P16" s="58"/>
    </row>
    <row r="17" spans="1:16" x14ac:dyDescent="0.25">
      <c r="A17" s="16" t="s">
        <v>48</v>
      </c>
      <c r="B17" s="17" t="s">
        <v>49</v>
      </c>
      <c r="C17" s="18" t="s">
        <v>50</v>
      </c>
      <c r="D17" s="18" t="s">
        <v>51</v>
      </c>
      <c r="E17" s="20">
        <v>14</v>
      </c>
      <c r="F17" s="20">
        <v>10</v>
      </c>
      <c r="G17" s="20">
        <v>0</v>
      </c>
      <c r="H17" s="20">
        <v>0</v>
      </c>
      <c r="I17" s="8">
        <v>24</v>
      </c>
      <c r="J17" s="20">
        <v>26</v>
      </c>
      <c r="K17" s="21">
        <v>50</v>
      </c>
      <c r="L17" s="8">
        <v>2</v>
      </c>
      <c r="M17" s="22">
        <v>5</v>
      </c>
      <c r="N17" s="23">
        <v>0.4</v>
      </c>
      <c r="O17" s="23">
        <v>0.6</v>
      </c>
      <c r="P17" s="57" t="s">
        <v>52</v>
      </c>
    </row>
    <row r="18" spans="1:16" x14ac:dyDescent="0.25">
      <c r="A18" s="16"/>
      <c r="B18" s="17"/>
      <c r="C18" s="18" t="s">
        <v>53</v>
      </c>
      <c r="D18" s="18" t="s">
        <v>54</v>
      </c>
      <c r="E18" s="20">
        <v>20</v>
      </c>
      <c r="F18" s="20">
        <v>16</v>
      </c>
      <c r="G18" s="20">
        <v>0</v>
      </c>
      <c r="H18" s="20">
        <v>0</v>
      </c>
      <c r="I18" s="8">
        <v>36</v>
      </c>
      <c r="J18" s="20">
        <v>39</v>
      </c>
      <c r="K18" s="21">
        <v>75</v>
      </c>
      <c r="L18" s="8">
        <v>3</v>
      </c>
      <c r="M18" s="22"/>
      <c r="N18" s="23">
        <v>0.4</v>
      </c>
      <c r="O18" s="23">
        <v>0.6</v>
      </c>
      <c r="P18" s="58"/>
    </row>
    <row r="19" spans="1:16" ht="18.75" customHeight="1" x14ac:dyDescent="0.25">
      <c r="A19" s="16" t="s">
        <v>55</v>
      </c>
      <c r="B19" s="17" t="s">
        <v>56</v>
      </c>
      <c r="C19" s="18" t="s">
        <v>57</v>
      </c>
      <c r="D19" s="18" t="s">
        <v>58</v>
      </c>
      <c r="E19" s="20">
        <v>20</v>
      </c>
      <c r="F19" s="20">
        <v>10</v>
      </c>
      <c r="G19" s="20">
        <v>0</v>
      </c>
      <c r="H19" s="20">
        <v>0</v>
      </c>
      <c r="I19" s="8">
        <v>30</v>
      </c>
      <c r="J19" s="20">
        <v>32</v>
      </c>
      <c r="K19" s="21">
        <v>62</v>
      </c>
      <c r="L19" s="8">
        <v>2.5</v>
      </c>
      <c r="M19" s="22">
        <v>5</v>
      </c>
      <c r="N19" s="23">
        <v>0.4</v>
      </c>
      <c r="O19" s="23">
        <v>0.6</v>
      </c>
      <c r="P19" s="61" t="s">
        <v>59</v>
      </c>
    </row>
    <row r="20" spans="1:16" ht="27" customHeight="1" thickBot="1" x14ac:dyDescent="0.3">
      <c r="A20" s="16"/>
      <c r="B20" s="17"/>
      <c r="C20" s="18" t="s">
        <v>60</v>
      </c>
      <c r="D20" s="20" t="s">
        <v>61</v>
      </c>
      <c r="E20" s="20">
        <v>20</v>
      </c>
      <c r="F20" s="20">
        <v>10</v>
      </c>
      <c r="G20" s="20">
        <v>0</v>
      </c>
      <c r="H20" s="20">
        <v>0</v>
      </c>
      <c r="I20" s="8">
        <v>30</v>
      </c>
      <c r="J20" s="20">
        <v>33</v>
      </c>
      <c r="K20" s="21">
        <v>63</v>
      </c>
      <c r="L20" s="8">
        <v>2.5</v>
      </c>
      <c r="M20" s="22"/>
      <c r="N20" s="23">
        <v>0.4</v>
      </c>
      <c r="O20" s="23">
        <v>0.6</v>
      </c>
      <c r="P20" s="62"/>
    </row>
    <row r="21" spans="1:16" ht="15.75" thickBot="1" x14ac:dyDescent="0.3">
      <c r="A21" s="26" t="s">
        <v>62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spans="1:16" ht="27" customHeight="1" thickBot="1" x14ac:dyDescent="0.3">
      <c r="A22" s="20" t="s">
        <v>63</v>
      </c>
      <c r="B22" s="20" t="s">
        <v>64</v>
      </c>
      <c r="C22" s="20" t="s">
        <v>63</v>
      </c>
      <c r="D22" s="20" t="s">
        <v>65</v>
      </c>
      <c r="E22" s="20">
        <v>10</v>
      </c>
      <c r="F22" s="20">
        <v>14</v>
      </c>
      <c r="G22" s="20">
        <v>0</v>
      </c>
      <c r="H22" s="20">
        <v>0</v>
      </c>
      <c r="I22" s="8">
        <v>24</v>
      </c>
      <c r="J22" s="20">
        <v>26</v>
      </c>
      <c r="K22" s="21">
        <v>50</v>
      </c>
      <c r="L22" s="8">
        <v>2</v>
      </c>
      <c r="M22" s="28">
        <v>2</v>
      </c>
      <c r="N22" s="23">
        <v>0.4</v>
      </c>
      <c r="O22" s="23">
        <v>0.6</v>
      </c>
      <c r="P22" s="63" t="s">
        <v>66</v>
      </c>
    </row>
    <row r="23" spans="1:16" ht="15.75" thickBot="1" x14ac:dyDescent="0.3">
      <c r="A23" s="26" t="s">
        <v>67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</row>
    <row r="24" spans="1:16" ht="14.25" customHeight="1" x14ac:dyDescent="0.25">
      <c r="A24" s="16" t="s">
        <v>68</v>
      </c>
      <c r="B24" s="20" t="s">
        <v>69</v>
      </c>
      <c r="C24" s="20" t="s">
        <v>70</v>
      </c>
      <c r="D24" s="20" t="s">
        <v>71</v>
      </c>
      <c r="E24" s="20">
        <v>0</v>
      </c>
      <c r="F24" s="20">
        <v>12</v>
      </c>
      <c r="G24" s="20">
        <v>0</v>
      </c>
      <c r="H24" s="20">
        <v>0</v>
      </c>
      <c r="I24" s="8">
        <v>12</v>
      </c>
      <c r="J24" s="20">
        <v>13</v>
      </c>
      <c r="K24" s="21">
        <v>25</v>
      </c>
      <c r="L24" s="8">
        <v>1</v>
      </c>
      <c r="M24" s="22">
        <v>2</v>
      </c>
      <c r="N24" s="23">
        <v>0.4</v>
      </c>
      <c r="O24" s="23">
        <v>0.6</v>
      </c>
      <c r="P24" s="57" t="s">
        <v>72</v>
      </c>
    </row>
    <row r="25" spans="1:16" x14ac:dyDescent="0.25">
      <c r="A25" s="16"/>
      <c r="B25" s="30"/>
      <c r="C25" s="30" t="s">
        <v>73</v>
      </c>
      <c r="D25" s="20" t="s">
        <v>74</v>
      </c>
      <c r="E25" s="20">
        <v>0</v>
      </c>
      <c r="F25" s="20">
        <v>12</v>
      </c>
      <c r="G25" s="20">
        <v>0</v>
      </c>
      <c r="H25" s="20">
        <v>0</v>
      </c>
      <c r="I25" s="8">
        <v>12</v>
      </c>
      <c r="J25" s="20">
        <v>13</v>
      </c>
      <c r="K25" s="21">
        <v>25</v>
      </c>
      <c r="L25" s="8">
        <v>1</v>
      </c>
      <c r="M25" s="22"/>
      <c r="N25" s="23">
        <v>0.4</v>
      </c>
      <c r="O25" s="23">
        <v>0.6</v>
      </c>
      <c r="P25" s="58"/>
    </row>
    <row r="26" spans="1:16" x14ac:dyDescent="0.25">
      <c r="A26" s="51" t="s">
        <v>131</v>
      </c>
      <c r="B26" s="52"/>
      <c r="C26" s="52"/>
      <c r="D26" s="53"/>
      <c r="E26" s="8">
        <f t="shared" ref="E26:L26" si="0">SUM(E24:E25,E22,E11:E20)</f>
        <v>198</v>
      </c>
      <c r="F26" s="8">
        <f t="shared" si="0"/>
        <v>162</v>
      </c>
      <c r="G26" s="8">
        <f t="shared" si="0"/>
        <v>0</v>
      </c>
      <c r="H26" s="8">
        <f t="shared" si="0"/>
        <v>0</v>
      </c>
      <c r="I26" s="8">
        <f t="shared" si="0"/>
        <v>360</v>
      </c>
      <c r="J26" s="8">
        <f t="shared" si="0"/>
        <v>390</v>
      </c>
      <c r="K26" s="8">
        <f t="shared" si="0"/>
        <v>750</v>
      </c>
      <c r="L26" s="11">
        <f t="shared" si="0"/>
        <v>30</v>
      </c>
      <c r="M26" s="11"/>
      <c r="N26" s="31"/>
      <c r="O26" s="31"/>
      <c r="P26" s="64"/>
    </row>
    <row r="27" spans="1:16" x14ac:dyDescent="0.25">
      <c r="A27" s="35"/>
      <c r="B27" s="35"/>
      <c r="C27" s="35"/>
      <c r="D27" s="35"/>
      <c r="E27" s="36"/>
      <c r="F27" s="36"/>
      <c r="G27" s="36"/>
      <c r="H27" s="36"/>
      <c r="I27" s="36"/>
      <c r="J27" s="36"/>
      <c r="K27" s="36"/>
      <c r="L27" s="36"/>
      <c r="M27" s="36"/>
      <c r="N27" s="37"/>
      <c r="O27" s="37"/>
      <c r="P27" s="65"/>
    </row>
    <row r="28" spans="1:16" x14ac:dyDescent="0.25">
      <c r="A28" s="35"/>
      <c r="B28" s="35"/>
      <c r="C28" s="35"/>
      <c r="D28" s="35"/>
      <c r="E28" s="36"/>
      <c r="F28" s="36"/>
      <c r="G28" s="36"/>
      <c r="H28" s="36"/>
      <c r="I28" s="36"/>
      <c r="J28" s="36"/>
      <c r="K28" s="36"/>
      <c r="L28" s="36"/>
      <c r="M28" s="36"/>
      <c r="N28" s="37"/>
      <c r="O28" s="37"/>
      <c r="P28" s="65"/>
    </row>
    <row r="29" spans="1:16" ht="15.75" thickBot="1" x14ac:dyDescent="0.3">
      <c r="A29" s="38"/>
      <c r="B29" s="39" t="s">
        <v>75</v>
      </c>
      <c r="C29" s="40"/>
      <c r="D29" s="41"/>
      <c r="E29" s="41"/>
      <c r="F29" s="41"/>
      <c r="G29" s="41"/>
      <c r="H29" s="41"/>
      <c r="I29" s="41"/>
      <c r="J29" s="41"/>
      <c r="K29" s="41"/>
      <c r="L29" s="41"/>
      <c r="M29" s="38"/>
    </row>
    <row r="30" spans="1:16" x14ac:dyDescent="0.25">
      <c r="A30" s="3" t="s">
        <v>7</v>
      </c>
      <c r="B30" s="3"/>
      <c r="C30" s="3"/>
      <c r="D30" s="3"/>
      <c r="E30" s="4" t="s">
        <v>8</v>
      </c>
      <c r="F30" s="4"/>
      <c r="G30" s="4"/>
      <c r="H30" s="4"/>
      <c r="I30" s="4"/>
      <c r="J30" s="4"/>
      <c r="K30" s="4"/>
      <c r="L30" s="5" t="s">
        <v>9</v>
      </c>
      <c r="M30" s="5" t="s">
        <v>10</v>
      </c>
      <c r="N30" s="42" t="s">
        <v>11</v>
      </c>
      <c r="O30" s="42"/>
      <c r="P30" s="55" t="s">
        <v>12</v>
      </c>
    </row>
    <row r="31" spans="1:16" ht="24.75" thickBot="1" x14ac:dyDescent="0.3">
      <c r="A31" s="8" t="s">
        <v>13</v>
      </c>
      <c r="B31" s="8" t="s">
        <v>14</v>
      </c>
      <c r="C31" s="9" t="s">
        <v>15</v>
      </c>
      <c r="D31" s="8" t="s">
        <v>16</v>
      </c>
      <c r="E31" s="8" t="s">
        <v>17</v>
      </c>
      <c r="F31" s="8" t="s">
        <v>18</v>
      </c>
      <c r="G31" s="8" t="s">
        <v>19</v>
      </c>
      <c r="H31" s="8" t="s">
        <v>20</v>
      </c>
      <c r="I31" s="10" t="s">
        <v>21</v>
      </c>
      <c r="J31" s="8" t="s">
        <v>22</v>
      </c>
      <c r="K31" s="8" t="s">
        <v>23</v>
      </c>
      <c r="L31" s="11"/>
      <c r="M31" s="11"/>
      <c r="N31" s="12" t="s">
        <v>24</v>
      </c>
      <c r="O31" s="12" t="s">
        <v>25</v>
      </c>
      <c r="P31" s="56"/>
    </row>
    <row r="32" spans="1:16" x14ac:dyDescent="0.25">
      <c r="A32" s="14" t="s">
        <v>26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spans="1:16" x14ac:dyDescent="0.25">
      <c r="A33" s="43" t="s">
        <v>76</v>
      </c>
      <c r="B33" s="17" t="s">
        <v>77</v>
      </c>
      <c r="C33" s="44" t="s">
        <v>78</v>
      </c>
      <c r="D33" s="18" t="s">
        <v>79</v>
      </c>
      <c r="E33" s="20">
        <v>20</v>
      </c>
      <c r="F33" s="20">
        <v>10</v>
      </c>
      <c r="G33" s="20">
        <v>0</v>
      </c>
      <c r="H33" s="20">
        <v>0</v>
      </c>
      <c r="I33" s="8">
        <v>30</v>
      </c>
      <c r="J33" s="20">
        <v>32</v>
      </c>
      <c r="K33" s="21">
        <v>62</v>
      </c>
      <c r="L33" s="8">
        <v>2.5</v>
      </c>
      <c r="M33" s="22">
        <v>5</v>
      </c>
      <c r="N33" s="23">
        <v>0.4</v>
      </c>
      <c r="O33" s="23">
        <v>0.6</v>
      </c>
      <c r="P33" s="57" t="s">
        <v>80</v>
      </c>
    </row>
    <row r="34" spans="1:16" ht="13.5" customHeight="1" x14ac:dyDescent="0.25">
      <c r="A34" s="43"/>
      <c r="B34" s="17"/>
      <c r="C34" s="18" t="s">
        <v>81</v>
      </c>
      <c r="D34" s="18" t="s">
        <v>82</v>
      </c>
      <c r="E34" s="20">
        <v>20</v>
      </c>
      <c r="F34" s="20">
        <v>10</v>
      </c>
      <c r="G34" s="20">
        <v>0</v>
      </c>
      <c r="H34" s="20">
        <v>0</v>
      </c>
      <c r="I34" s="8">
        <v>30</v>
      </c>
      <c r="J34" s="20">
        <v>33</v>
      </c>
      <c r="K34" s="21">
        <v>63</v>
      </c>
      <c r="L34" s="8">
        <v>2.5</v>
      </c>
      <c r="M34" s="22"/>
      <c r="N34" s="23">
        <v>0.4</v>
      </c>
      <c r="O34" s="23">
        <v>0.6</v>
      </c>
      <c r="P34" s="58"/>
    </row>
    <row r="35" spans="1:16" x14ac:dyDescent="0.25">
      <c r="A35" s="16" t="s">
        <v>83</v>
      </c>
      <c r="B35" s="17" t="s">
        <v>84</v>
      </c>
      <c r="C35" s="18" t="s">
        <v>85</v>
      </c>
      <c r="D35" s="18" t="s">
        <v>86</v>
      </c>
      <c r="E35" s="20">
        <v>20</v>
      </c>
      <c r="F35" s="20">
        <v>16</v>
      </c>
      <c r="G35" s="20">
        <v>0</v>
      </c>
      <c r="H35" s="20">
        <v>0</v>
      </c>
      <c r="I35" s="8">
        <v>36</v>
      </c>
      <c r="J35" s="20">
        <v>39</v>
      </c>
      <c r="K35" s="21">
        <v>75</v>
      </c>
      <c r="L35" s="8">
        <v>3</v>
      </c>
      <c r="M35" s="22">
        <v>6</v>
      </c>
      <c r="N35" s="23">
        <v>0.4</v>
      </c>
      <c r="O35" s="23">
        <v>0.6</v>
      </c>
      <c r="P35" s="57" t="s">
        <v>87</v>
      </c>
    </row>
    <row r="36" spans="1:16" x14ac:dyDescent="0.25">
      <c r="A36" s="16"/>
      <c r="B36" s="17"/>
      <c r="C36" s="18" t="s">
        <v>88</v>
      </c>
      <c r="D36" s="18" t="s">
        <v>89</v>
      </c>
      <c r="E36" s="20">
        <v>20</v>
      </c>
      <c r="F36" s="20">
        <v>16</v>
      </c>
      <c r="G36" s="20">
        <v>0</v>
      </c>
      <c r="H36" s="20">
        <v>0</v>
      </c>
      <c r="I36" s="8">
        <v>36</v>
      </c>
      <c r="J36" s="20">
        <v>39</v>
      </c>
      <c r="K36" s="21">
        <v>75</v>
      </c>
      <c r="L36" s="8">
        <v>3</v>
      </c>
      <c r="M36" s="22"/>
      <c r="N36" s="23">
        <v>0.4</v>
      </c>
      <c r="O36" s="23">
        <v>0.6</v>
      </c>
      <c r="P36" s="58"/>
    </row>
    <row r="37" spans="1:16" x14ac:dyDescent="0.25">
      <c r="A37" s="16" t="s">
        <v>90</v>
      </c>
      <c r="B37" s="17" t="s">
        <v>91</v>
      </c>
      <c r="C37" s="18" t="s">
        <v>92</v>
      </c>
      <c r="D37" s="18" t="s">
        <v>93</v>
      </c>
      <c r="E37" s="20">
        <v>8</v>
      </c>
      <c r="F37" s="20">
        <v>4</v>
      </c>
      <c r="G37" s="20">
        <v>0</v>
      </c>
      <c r="H37" s="20">
        <v>0</v>
      </c>
      <c r="I37" s="8">
        <v>12</v>
      </c>
      <c r="J37" s="20">
        <v>13</v>
      </c>
      <c r="K37" s="8">
        <v>25</v>
      </c>
      <c r="L37" s="8">
        <v>1</v>
      </c>
      <c r="M37" s="22">
        <v>6</v>
      </c>
      <c r="N37" s="23">
        <v>0.4</v>
      </c>
      <c r="O37" s="23">
        <v>0.6</v>
      </c>
      <c r="P37" s="66" t="s">
        <v>94</v>
      </c>
    </row>
    <row r="38" spans="1:16" ht="21" customHeight="1" x14ac:dyDescent="0.25">
      <c r="A38" s="16"/>
      <c r="B38" s="17"/>
      <c r="C38" s="18" t="s">
        <v>95</v>
      </c>
      <c r="D38" s="20" t="s">
        <v>96</v>
      </c>
      <c r="E38" s="20">
        <v>14</v>
      </c>
      <c r="F38" s="20">
        <v>10</v>
      </c>
      <c r="G38" s="20">
        <v>0</v>
      </c>
      <c r="H38" s="20">
        <v>0</v>
      </c>
      <c r="I38" s="8">
        <v>24</v>
      </c>
      <c r="J38" s="20">
        <v>26</v>
      </c>
      <c r="K38" s="21">
        <v>50</v>
      </c>
      <c r="L38" s="8">
        <v>2</v>
      </c>
      <c r="M38" s="22"/>
      <c r="N38" s="23">
        <v>0.4</v>
      </c>
      <c r="O38" s="23">
        <v>0.6</v>
      </c>
      <c r="P38" s="67"/>
    </row>
    <row r="39" spans="1:16" x14ac:dyDescent="0.25">
      <c r="A39" s="16"/>
      <c r="B39" s="17"/>
      <c r="C39" s="17" t="s">
        <v>97</v>
      </c>
      <c r="D39" s="16" t="s">
        <v>98</v>
      </c>
      <c r="E39" s="16">
        <v>20</v>
      </c>
      <c r="F39" s="16">
        <v>16</v>
      </c>
      <c r="G39" s="16">
        <v>0</v>
      </c>
      <c r="H39" s="16">
        <v>0</v>
      </c>
      <c r="I39" s="11">
        <v>36</v>
      </c>
      <c r="J39" s="16">
        <v>39</v>
      </c>
      <c r="K39" s="45">
        <v>75</v>
      </c>
      <c r="L39" s="11">
        <v>3</v>
      </c>
      <c r="M39" s="22"/>
      <c r="N39" s="23">
        <v>0.4</v>
      </c>
      <c r="O39" s="23">
        <v>0.6</v>
      </c>
      <c r="P39" s="67"/>
    </row>
    <row r="40" spans="1:16" ht="17.25" customHeight="1" x14ac:dyDescent="0.25">
      <c r="A40" s="16"/>
      <c r="B40" s="17"/>
      <c r="C40" s="17"/>
      <c r="D40" s="16"/>
      <c r="E40" s="16"/>
      <c r="F40" s="16"/>
      <c r="G40" s="16"/>
      <c r="H40" s="16"/>
      <c r="I40" s="11"/>
      <c r="J40" s="16"/>
      <c r="K40" s="45"/>
      <c r="L40" s="11"/>
      <c r="M40" s="22"/>
      <c r="N40" s="23">
        <v>0.4</v>
      </c>
      <c r="O40" s="23">
        <v>0.6</v>
      </c>
      <c r="P40" s="68"/>
    </row>
    <row r="41" spans="1:16" ht="15.75" customHeight="1" x14ac:dyDescent="0.25">
      <c r="A41" s="16" t="s">
        <v>99</v>
      </c>
      <c r="B41" s="46" t="s">
        <v>100</v>
      </c>
      <c r="C41" s="30" t="s">
        <v>101</v>
      </c>
      <c r="D41" s="20" t="s">
        <v>102</v>
      </c>
      <c r="E41" s="20">
        <v>8</v>
      </c>
      <c r="F41" s="20">
        <v>4</v>
      </c>
      <c r="G41" s="20">
        <v>0</v>
      </c>
      <c r="H41" s="20">
        <v>0</v>
      </c>
      <c r="I41" s="8">
        <v>12</v>
      </c>
      <c r="J41" s="20">
        <v>13</v>
      </c>
      <c r="K41" s="8">
        <v>25</v>
      </c>
      <c r="L41" s="47">
        <v>1</v>
      </c>
      <c r="M41" s="22">
        <v>5</v>
      </c>
      <c r="N41" s="23">
        <v>0.4</v>
      </c>
      <c r="O41" s="23">
        <v>0.6</v>
      </c>
      <c r="P41" s="61" t="s">
        <v>103</v>
      </c>
    </row>
    <row r="42" spans="1:16" ht="20.25" customHeight="1" x14ac:dyDescent="0.25">
      <c r="A42" s="16"/>
      <c r="B42" s="46"/>
      <c r="C42" s="30" t="s">
        <v>104</v>
      </c>
      <c r="D42" s="20" t="s">
        <v>105</v>
      </c>
      <c r="E42" s="20">
        <v>14</v>
      </c>
      <c r="F42" s="20">
        <v>10</v>
      </c>
      <c r="G42" s="20">
        <v>0</v>
      </c>
      <c r="H42" s="20">
        <v>0</v>
      </c>
      <c r="I42" s="8">
        <v>24</v>
      </c>
      <c r="J42" s="20">
        <v>26</v>
      </c>
      <c r="K42" s="21">
        <v>50</v>
      </c>
      <c r="L42" s="8">
        <v>2</v>
      </c>
      <c r="M42" s="22"/>
      <c r="N42" s="23">
        <v>0.4</v>
      </c>
      <c r="O42" s="23">
        <v>0.6</v>
      </c>
      <c r="P42" s="69"/>
    </row>
    <row r="43" spans="1:16" ht="24" x14ac:dyDescent="0.25">
      <c r="A43" s="16"/>
      <c r="B43" s="46"/>
      <c r="C43" s="30" t="s">
        <v>106</v>
      </c>
      <c r="D43" s="20" t="s">
        <v>107</v>
      </c>
      <c r="E43" s="20">
        <v>14</v>
      </c>
      <c r="F43" s="20">
        <v>10</v>
      </c>
      <c r="G43" s="20">
        <v>0</v>
      </c>
      <c r="H43" s="20">
        <v>0</v>
      </c>
      <c r="I43" s="8">
        <v>24</v>
      </c>
      <c r="J43" s="20">
        <v>26</v>
      </c>
      <c r="K43" s="21">
        <v>50</v>
      </c>
      <c r="L43" s="8">
        <v>2</v>
      </c>
      <c r="M43" s="22"/>
      <c r="N43" s="23">
        <v>0.4</v>
      </c>
      <c r="O43" s="23">
        <v>0.6</v>
      </c>
      <c r="P43" s="62"/>
    </row>
    <row r="44" spans="1:16" x14ac:dyDescent="0.25">
      <c r="A44" s="16" t="s">
        <v>108</v>
      </c>
      <c r="B44" s="17" t="s">
        <v>109</v>
      </c>
      <c r="C44" s="18" t="s">
        <v>110</v>
      </c>
      <c r="D44" s="20" t="s">
        <v>111</v>
      </c>
      <c r="E44" s="20">
        <v>20</v>
      </c>
      <c r="F44" s="20">
        <v>16</v>
      </c>
      <c r="G44" s="20">
        <v>0</v>
      </c>
      <c r="H44" s="20">
        <v>0</v>
      </c>
      <c r="I44" s="8">
        <v>36</v>
      </c>
      <c r="J44" s="20">
        <v>39</v>
      </c>
      <c r="K44" s="21">
        <v>75</v>
      </c>
      <c r="L44" s="8">
        <v>3</v>
      </c>
      <c r="M44" s="22">
        <v>5</v>
      </c>
      <c r="N44" s="23">
        <v>0.4</v>
      </c>
      <c r="O44" s="23">
        <v>0.6</v>
      </c>
      <c r="P44" s="57" t="s">
        <v>112</v>
      </c>
    </row>
    <row r="45" spans="1:16" ht="15.75" thickBot="1" x14ac:dyDescent="0.3">
      <c r="A45" s="16"/>
      <c r="B45" s="17"/>
      <c r="C45" s="18" t="s">
        <v>113</v>
      </c>
      <c r="D45" s="20" t="s">
        <v>114</v>
      </c>
      <c r="E45" s="20">
        <v>14</v>
      </c>
      <c r="F45" s="20">
        <v>10</v>
      </c>
      <c r="G45" s="20">
        <v>0</v>
      </c>
      <c r="H45" s="20">
        <v>0</v>
      </c>
      <c r="I45" s="8">
        <v>24</v>
      </c>
      <c r="J45" s="20">
        <v>26</v>
      </c>
      <c r="K45" s="21">
        <v>50</v>
      </c>
      <c r="L45" s="8">
        <v>2</v>
      </c>
      <c r="M45" s="22"/>
      <c r="N45" s="23">
        <v>0.4</v>
      </c>
      <c r="O45" s="23">
        <v>0.6</v>
      </c>
      <c r="P45" s="58"/>
    </row>
    <row r="46" spans="1:16" ht="15.75" thickBot="1" x14ac:dyDescent="0.3">
      <c r="A46" s="26" t="s">
        <v>62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</row>
    <row r="47" spans="1:16" x14ac:dyDescent="0.25">
      <c r="A47" s="16" t="s">
        <v>115</v>
      </c>
      <c r="B47" s="16" t="s">
        <v>116</v>
      </c>
      <c r="C47" s="20" t="s">
        <v>117</v>
      </c>
      <c r="D47" s="20" t="s">
        <v>118</v>
      </c>
      <c r="E47" s="20">
        <v>7</v>
      </c>
      <c r="F47" s="20">
        <v>3</v>
      </c>
      <c r="G47" s="20">
        <v>2</v>
      </c>
      <c r="H47" s="21">
        <v>0</v>
      </c>
      <c r="I47" s="20">
        <v>12</v>
      </c>
      <c r="J47" s="20">
        <v>13</v>
      </c>
      <c r="K47" s="8">
        <v>25</v>
      </c>
      <c r="L47" s="8">
        <v>1</v>
      </c>
      <c r="M47" s="22">
        <v>2</v>
      </c>
      <c r="N47" s="23">
        <v>0.4</v>
      </c>
      <c r="O47" s="23">
        <v>0.6</v>
      </c>
      <c r="P47" s="57" t="s">
        <v>119</v>
      </c>
    </row>
    <row r="48" spans="1:16" ht="15.75" thickBot="1" x14ac:dyDescent="0.3">
      <c r="A48" s="16"/>
      <c r="B48" s="16"/>
      <c r="C48" s="20" t="s">
        <v>120</v>
      </c>
      <c r="D48" s="20" t="s">
        <v>121</v>
      </c>
      <c r="E48" s="20">
        <v>7</v>
      </c>
      <c r="F48" s="20">
        <v>2</v>
      </c>
      <c r="G48" s="20">
        <v>3</v>
      </c>
      <c r="H48" s="21">
        <v>0</v>
      </c>
      <c r="I48" s="20">
        <v>12</v>
      </c>
      <c r="J48" s="20">
        <v>13</v>
      </c>
      <c r="K48" s="8">
        <v>25</v>
      </c>
      <c r="L48" s="8">
        <v>1</v>
      </c>
      <c r="M48" s="22"/>
      <c r="N48" s="23">
        <v>0.4</v>
      </c>
      <c r="O48" s="23">
        <v>0.6</v>
      </c>
      <c r="P48" s="58"/>
    </row>
    <row r="49" spans="1:16" ht="15.75" thickBot="1" x14ac:dyDescent="0.3">
      <c r="A49" s="26" t="s">
        <v>67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</row>
    <row r="50" spans="1:16" x14ac:dyDescent="0.25">
      <c r="A50" s="16" t="s">
        <v>122</v>
      </c>
      <c r="B50" s="16" t="s">
        <v>123</v>
      </c>
      <c r="C50" s="20" t="s">
        <v>122</v>
      </c>
      <c r="D50" s="20" t="s">
        <v>124</v>
      </c>
      <c r="E50" s="20">
        <v>8</v>
      </c>
      <c r="F50" s="20">
        <v>4</v>
      </c>
      <c r="G50" s="20">
        <v>0</v>
      </c>
      <c r="H50" s="20">
        <v>0</v>
      </c>
      <c r="I50" s="20">
        <v>12</v>
      </c>
      <c r="J50" s="20">
        <v>13</v>
      </c>
      <c r="K50" s="8">
        <v>25</v>
      </c>
      <c r="L50" s="8">
        <v>1</v>
      </c>
      <c r="M50" s="22">
        <v>1</v>
      </c>
      <c r="N50" s="23">
        <v>0.4</v>
      </c>
      <c r="O50" s="23">
        <v>0.6</v>
      </c>
      <c r="P50" s="57" t="s">
        <v>125</v>
      </c>
    </row>
    <row r="51" spans="1:16" x14ac:dyDescent="0.25">
      <c r="A51" s="16"/>
      <c r="B51" s="16"/>
      <c r="C51" s="20" t="s">
        <v>122</v>
      </c>
      <c r="D51" s="20" t="s">
        <v>126</v>
      </c>
      <c r="E51" s="20">
        <v>8</v>
      </c>
      <c r="F51" s="20">
        <v>4</v>
      </c>
      <c r="G51" s="20">
        <v>0</v>
      </c>
      <c r="H51" s="20">
        <v>0</v>
      </c>
      <c r="I51" s="20">
        <v>12</v>
      </c>
      <c r="J51" s="20">
        <v>13</v>
      </c>
      <c r="K51" s="8">
        <v>25</v>
      </c>
      <c r="L51" s="8">
        <v>1</v>
      </c>
      <c r="M51" s="22"/>
      <c r="N51" s="23">
        <v>0.4</v>
      </c>
      <c r="O51" s="23">
        <v>0.6</v>
      </c>
      <c r="P51" s="70"/>
    </row>
    <row r="52" spans="1:16" x14ac:dyDescent="0.25">
      <c r="A52" s="16"/>
      <c r="B52" s="16"/>
      <c r="C52" s="20" t="s">
        <v>122</v>
      </c>
      <c r="D52" s="20" t="s">
        <v>127</v>
      </c>
      <c r="E52" s="20">
        <v>8</v>
      </c>
      <c r="F52" s="20">
        <v>4</v>
      </c>
      <c r="G52" s="20">
        <v>0</v>
      </c>
      <c r="H52" s="20">
        <v>0</v>
      </c>
      <c r="I52" s="20">
        <v>12</v>
      </c>
      <c r="J52" s="20">
        <v>13</v>
      </c>
      <c r="K52" s="8">
        <v>25</v>
      </c>
      <c r="L52" s="8">
        <v>1</v>
      </c>
      <c r="M52" s="22"/>
      <c r="N52" s="23">
        <v>0.4</v>
      </c>
      <c r="O52" s="23">
        <v>0.6</v>
      </c>
      <c r="P52" s="70"/>
    </row>
    <row r="53" spans="1:16" x14ac:dyDescent="0.25">
      <c r="A53" s="16"/>
      <c r="B53" s="16"/>
      <c r="C53" s="20" t="s">
        <v>122</v>
      </c>
      <c r="D53" s="20" t="s">
        <v>128</v>
      </c>
      <c r="E53" s="20">
        <v>8</v>
      </c>
      <c r="F53" s="20">
        <v>4</v>
      </c>
      <c r="G53" s="20">
        <v>0</v>
      </c>
      <c r="H53" s="20">
        <v>0</v>
      </c>
      <c r="I53" s="20">
        <v>12</v>
      </c>
      <c r="J53" s="20">
        <v>13</v>
      </c>
      <c r="K53" s="8">
        <v>25</v>
      </c>
      <c r="L53" s="8">
        <v>1</v>
      </c>
      <c r="M53" s="22"/>
      <c r="N53" s="23">
        <v>0.4</v>
      </c>
      <c r="O53" s="23">
        <v>0.6</v>
      </c>
      <c r="P53" s="70"/>
    </row>
    <row r="54" spans="1:16" x14ac:dyDescent="0.25">
      <c r="A54" s="16"/>
      <c r="B54" s="16"/>
      <c r="C54" s="20" t="s">
        <v>122</v>
      </c>
      <c r="D54" s="20" t="s">
        <v>129</v>
      </c>
      <c r="E54" s="20">
        <v>8</v>
      </c>
      <c r="F54" s="20">
        <v>4</v>
      </c>
      <c r="G54" s="20">
        <v>0</v>
      </c>
      <c r="H54" s="20">
        <v>0</v>
      </c>
      <c r="I54" s="20">
        <v>12</v>
      </c>
      <c r="J54" s="20">
        <v>13</v>
      </c>
      <c r="K54" s="8">
        <v>25</v>
      </c>
      <c r="L54" s="8">
        <v>1</v>
      </c>
      <c r="M54" s="22"/>
      <c r="N54" s="23">
        <v>0.4</v>
      </c>
      <c r="O54" s="23">
        <v>0.6</v>
      </c>
      <c r="P54" s="58"/>
    </row>
    <row r="55" spans="1:16" ht="15.75" thickBot="1" x14ac:dyDescent="0.3">
      <c r="A55" s="32"/>
      <c r="B55" s="32"/>
      <c r="C55" s="32"/>
      <c r="D55" s="32"/>
      <c r="E55" s="49">
        <f t="shared" ref="E55:L55" si="1">SUM(E50,E47:E48,E33:E45)</f>
        <v>214</v>
      </c>
      <c r="F55" s="49">
        <f t="shared" si="1"/>
        <v>141</v>
      </c>
      <c r="G55" s="49">
        <f t="shared" si="1"/>
        <v>5</v>
      </c>
      <c r="H55" s="49">
        <f t="shared" si="1"/>
        <v>0</v>
      </c>
      <c r="I55" s="49">
        <f t="shared" si="1"/>
        <v>360</v>
      </c>
      <c r="J55" s="49">
        <f t="shared" si="1"/>
        <v>390</v>
      </c>
      <c r="K55" s="49">
        <f t="shared" si="1"/>
        <v>750</v>
      </c>
      <c r="L55" s="32">
        <f t="shared" si="1"/>
        <v>30</v>
      </c>
      <c r="M55" s="32"/>
      <c r="N55" s="33"/>
      <c r="O55" s="33"/>
      <c r="P55" s="71"/>
    </row>
    <row r="56" spans="1:16" x14ac:dyDescent="0.25">
      <c r="A56" s="37" t="s">
        <v>130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65"/>
    </row>
    <row r="60" spans="1:16" x14ac:dyDescent="0.25">
      <c r="D60" s="1" t="s">
        <v>0</v>
      </c>
      <c r="P60"/>
    </row>
    <row r="61" spans="1:16" x14ac:dyDescent="0.25">
      <c r="D61" s="1" t="s">
        <v>1</v>
      </c>
      <c r="P61"/>
    </row>
    <row r="62" spans="1:16" x14ac:dyDescent="0.25">
      <c r="D62" s="1" t="s">
        <v>2</v>
      </c>
      <c r="P62"/>
    </row>
    <row r="63" spans="1:16" x14ac:dyDescent="0.25">
      <c r="D63" s="1" t="s">
        <v>3</v>
      </c>
      <c r="P63"/>
    </row>
    <row r="64" spans="1:16" x14ac:dyDescent="0.25">
      <c r="D64" s="2" t="s">
        <v>4</v>
      </c>
      <c r="P64"/>
    </row>
    <row r="65" spans="1:16" x14ac:dyDescent="0.25">
      <c r="D65" s="1" t="s">
        <v>5</v>
      </c>
      <c r="P65"/>
    </row>
    <row r="66" spans="1:16" ht="15.75" thickBot="1" x14ac:dyDescent="0.3">
      <c r="D66" s="1" t="s">
        <v>132</v>
      </c>
      <c r="P66"/>
    </row>
    <row r="67" spans="1:16" x14ac:dyDescent="0.25">
      <c r="A67" s="3" t="s">
        <v>7</v>
      </c>
      <c r="B67" s="3"/>
      <c r="C67" s="3"/>
      <c r="D67" s="3"/>
      <c r="E67" s="4" t="s">
        <v>8</v>
      </c>
      <c r="F67" s="4"/>
      <c r="G67" s="4"/>
      <c r="H67" s="4"/>
      <c r="I67" s="4"/>
      <c r="J67" s="4"/>
      <c r="K67" s="4"/>
      <c r="L67" s="72" t="s">
        <v>9</v>
      </c>
      <c r="M67" s="72" t="s">
        <v>10</v>
      </c>
      <c r="N67" s="42" t="s">
        <v>11</v>
      </c>
      <c r="O67" s="42"/>
      <c r="P67" s="7" t="s">
        <v>12</v>
      </c>
    </row>
    <row r="68" spans="1:16" ht="19.5" customHeight="1" thickBot="1" x14ac:dyDescent="0.3">
      <c r="A68" s="73" t="s">
        <v>13</v>
      </c>
      <c r="B68" s="73" t="s">
        <v>14</v>
      </c>
      <c r="C68" s="9" t="s">
        <v>15</v>
      </c>
      <c r="D68" s="73" t="s">
        <v>16</v>
      </c>
      <c r="E68" s="73" t="s">
        <v>17</v>
      </c>
      <c r="F68" s="73" t="s">
        <v>18</v>
      </c>
      <c r="G68" s="73" t="s">
        <v>19</v>
      </c>
      <c r="H68" s="73" t="s">
        <v>20</v>
      </c>
      <c r="I68" s="10" t="s">
        <v>21</v>
      </c>
      <c r="J68" s="73" t="s">
        <v>22</v>
      </c>
      <c r="K68" s="73" t="s">
        <v>23</v>
      </c>
      <c r="L68" s="74"/>
      <c r="M68" s="74"/>
      <c r="N68" s="12" t="s">
        <v>24</v>
      </c>
      <c r="O68" s="12" t="s">
        <v>25</v>
      </c>
      <c r="P68" s="13"/>
    </row>
    <row r="69" spans="1:16" x14ac:dyDescent="0.25">
      <c r="A69" s="14" t="s">
        <v>26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</row>
    <row r="70" spans="1:16" x14ac:dyDescent="0.25">
      <c r="A70" s="75" t="s">
        <v>133</v>
      </c>
      <c r="B70" s="45" t="s">
        <v>134</v>
      </c>
      <c r="C70" s="21" t="s">
        <v>135</v>
      </c>
      <c r="D70" s="21" t="s">
        <v>136</v>
      </c>
      <c r="E70" s="76">
        <v>11</v>
      </c>
      <c r="F70" s="76">
        <v>5</v>
      </c>
      <c r="G70" s="76">
        <v>8</v>
      </c>
      <c r="H70" s="76">
        <v>0</v>
      </c>
      <c r="I70" s="76">
        <v>24</v>
      </c>
      <c r="J70" s="76">
        <v>26</v>
      </c>
      <c r="K70" s="73">
        <v>50</v>
      </c>
      <c r="L70" s="73">
        <v>2</v>
      </c>
      <c r="M70" s="77">
        <v>4</v>
      </c>
      <c r="N70" s="23">
        <v>0.4</v>
      </c>
      <c r="O70" s="23">
        <v>0.6</v>
      </c>
      <c r="P70" s="78" t="s">
        <v>137</v>
      </c>
    </row>
    <row r="71" spans="1:16" x14ac:dyDescent="0.25">
      <c r="A71" s="75"/>
      <c r="B71" s="45"/>
      <c r="C71" s="21" t="s">
        <v>138</v>
      </c>
      <c r="D71" s="21" t="s">
        <v>139</v>
      </c>
      <c r="E71" s="76">
        <v>11</v>
      </c>
      <c r="F71" s="76">
        <v>5</v>
      </c>
      <c r="G71" s="76">
        <v>8</v>
      </c>
      <c r="H71" s="76">
        <v>0</v>
      </c>
      <c r="I71" s="76">
        <v>24</v>
      </c>
      <c r="J71" s="76">
        <v>26</v>
      </c>
      <c r="K71" s="73">
        <v>50</v>
      </c>
      <c r="L71" s="73">
        <v>2</v>
      </c>
      <c r="M71" s="77"/>
      <c r="N71" s="23">
        <v>0.4</v>
      </c>
      <c r="O71" s="23">
        <v>0.6</v>
      </c>
      <c r="P71" s="79"/>
    </row>
    <row r="72" spans="1:16" ht="24" x14ac:dyDescent="0.25">
      <c r="A72" s="75" t="s">
        <v>140</v>
      </c>
      <c r="B72" s="45" t="s">
        <v>141</v>
      </c>
      <c r="C72" s="21" t="s">
        <v>142</v>
      </c>
      <c r="D72" s="76" t="s">
        <v>143</v>
      </c>
      <c r="E72" s="76">
        <v>8</v>
      </c>
      <c r="F72" s="76">
        <v>5</v>
      </c>
      <c r="G72" s="76">
        <v>5</v>
      </c>
      <c r="H72" s="76">
        <v>0</v>
      </c>
      <c r="I72" s="76">
        <v>18</v>
      </c>
      <c r="J72" s="76">
        <v>19</v>
      </c>
      <c r="K72" s="73">
        <v>37</v>
      </c>
      <c r="L72" s="73">
        <v>1.5</v>
      </c>
      <c r="M72" s="77">
        <v>4</v>
      </c>
      <c r="N72" s="23">
        <v>0.4</v>
      </c>
      <c r="O72" s="23">
        <v>0.6</v>
      </c>
      <c r="P72" s="24" t="s">
        <v>144</v>
      </c>
    </row>
    <row r="73" spans="1:16" ht="11.25" customHeight="1" x14ac:dyDescent="0.25">
      <c r="A73" s="75"/>
      <c r="B73" s="45"/>
      <c r="C73" s="21" t="s">
        <v>145</v>
      </c>
      <c r="D73" s="76" t="s">
        <v>146</v>
      </c>
      <c r="E73" s="76">
        <v>8</v>
      </c>
      <c r="F73" s="76">
        <v>5</v>
      </c>
      <c r="G73" s="76">
        <v>5</v>
      </c>
      <c r="H73" s="76">
        <v>0</v>
      </c>
      <c r="I73" s="76">
        <v>18</v>
      </c>
      <c r="J73" s="76">
        <v>20</v>
      </c>
      <c r="K73" s="73">
        <v>38</v>
      </c>
      <c r="L73" s="73">
        <v>1.5</v>
      </c>
      <c r="M73" s="77"/>
      <c r="N73" s="23">
        <v>0.4</v>
      </c>
      <c r="O73" s="23">
        <v>0.6</v>
      </c>
      <c r="P73" s="48"/>
    </row>
    <row r="74" spans="1:16" ht="12" customHeight="1" x14ac:dyDescent="0.25">
      <c r="A74" s="75"/>
      <c r="B74" s="45"/>
      <c r="C74" s="21" t="s">
        <v>147</v>
      </c>
      <c r="D74" s="76" t="s">
        <v>148</v>
      </c>
      <c r="E74" s="76">
        <v>3</v>
      </c>
      <c r="F74" s="76">
        <v>4</v>
      </c>
      <c r="G74" s="76">
        <v>5</v>
      </c>
      <c r="H74" s="76">
        <v>0</v>
      </c>
      <c r="I74" s="76">
        <v>12</v>
      </c>
      <c r="J74" s="76">
        <v>13</v>
      </c>
      <c r="K74" s="73">
        <v>25</v>
      </c>
      <c r="L74" s="73">
        <v>1</v>
      </c>
      <c r="M74" s="77"/>
      <c r="N74" s="23">
        <v>0.4</v>
      </c>
      <c r="O74" s="23">
        <v>0.6</v>
      </c>
      <c r="P74" s="25"/>
    </row>
    <row r="75" spans="1:16" ht="24" x14ac:dyDescent="0.25">
      <c r="A75" s="75" t="s">
        <v>149</v>
      </c>
      <c r="B75" s="46" t="s">
        <v>150</v>
      </c>
      <c r="C75" s="30" t="s">
        <v>151</v>
      </c>
      <c r="D75" s="76" t="s">
        <v>152</v>
      </c>
      <c r="E75" s="76">
        <v>11</v>
      </c>
      <c r="F75" s="76">
        <v>5</v>
      </c>
      <c r="G75" s="76">
        <v>8</v>
      </c>
      <c r="H75" s="76">
        <v>0</v>
      </c>
      <c r="I75" s="76">
        <v>24</v>
      </c>
      <c r="J75" s="76">
        <v>26</v>
      </c>
      <c r="K75" s="73">
        <v>50</v>
      </c>
      <c r="L75" s="73">
        <v>2</v>
      </c>
      <c r="M75" s="77">
        <v>4</v>
      </c>
      <c r="N75" s="23">
        <v>0.4</v>
      </c>
      <c r="O75" s="23">
        <v>0.6</v>
      </c>
      <c r="P75" s="24" t="s">
        <v>153</v>
      </c>
    </row>
    <row r="76" spans="1:16" ht="36" x14ac:dyDescent="0.25">
      <c r="A76" s="75"/>
      <c r="B76" s="46"/>
      <c r="C76" s="30" t="s">
        <v>154</v>
      </c>
      <c r="D76" s="76" t="s">
        <v>155</v>
      </c>
      <c r="E76" s="76">
        <v>11</v>
      </c>
      <c r="F76" s="76">
        <v>5</v>
      </c>
      <c r="G76" s="76">
        <v>8</v>
      </c>
      <c r="H76" s="76">
        <v>0</v>
      </c>
      <c r="I76" s="76">
        <v>24</v>
      </c>
      <c r="J76" s="76">
        <v>26</v>
      </c>
      <c r="K76" s="73">
        <v>50</v>
      </c>
      <c r="L76" s="73">
        <v>2</v>
      </c>
      <c r="M76" s="77"/>
      <c r="N76" s="23">
        <v>0.4</v>
      </c>
      <c r="O76" s="23">
        <v>0.6</v>
      </c>
      <c r="P76" s="25"/>
    </row>
    <row r="77" spans="1:16" ht="12.75" customHeight="1" x14ac:dyDescent="0.25">
      <c r="A77" s="75" t="s">
        <v>156</v>
      </c>
      <c r="B77" s="46" t="s">
        <v>157</v>
      </c>
      <c r="C77" s="30" t="s">
        <v>158</v>
      </c>
      <c r="D77" s="76" t="s">
        <v>159</v>
      </c>
      <c r="E77" s="76">
        <v>11</v>
      </c>
      <c r="F77" s="76">
        <v>5</v>
      </c>
      <c r="G77" s="76">
        <v>8</v>
      </c>
      <c r="H77" s="76">
        <v>0</v>
      </c>
      <c r="I77" s="76">
        <v>24</v>
      </c>
      <c r="J77" s="76">
        <v>26</v>
      </c>
      <c r="K77" s="73">
        <v>50</v>
      </c>
      <c r="L77" s="73">
        <v>2</v>
      </c>
      <c r="M77" s="77">
        <v>4</v>
      </c>
      <c r="N77" s="23">
        <v>0.4</v>
      </c>
      <c r="O77" s="23">
        <v>0.6</v>
      </c>
      <c r="P77" s="24" t="s">
        <v>160</v>
      </c>
    </row>
    <row r="78" spans="1:16" ht="12" customHeight="1" x14ac:dyDescent="0.25">
      <c r="A78" s="75"/>
      <c r="B78" s="46"/>
      <c r="C78" s="30" t="s">
        <v>161</v>
      </c>
      <c r="D78" s="76" t="s">
        <v>162</v>
      </c>
      <c r="E78" s="76">
        <v>11</v>
      </c>
      <c r="F78" s="76">
        <v>5</v>
      </c>
      <c r="G78" s="76">
        <v>8</v>
      </c>
      <c r="H78" s="76">
        <v>0</v>
      </c>
      <c r="I78" s="76">
        <v>24</v>
      </c>
      <c r="J78" s="76">
        <v>26</v>
      </c>
      <c r="K78" s="73">
        <v>50</v>
      </c>
      <c r="L78" s="73">
        <v>2</v>
      </c>
      <c r="M78" s="77"/>
      <c r="N78" s="23">
        <v>0.4</v>
      </c>
      <c r="O78" s="23">
        <v>0.6</v>
      </c>
      <c r="P78" s="25"/>
    </row>
    <row r="79" spans="1:16" ht="24" x14ac:dyDescent="0.25">
      <c r="A79" s="75" t="s">
        <v>163</v>
      </c>
      <c r="B79" s="46" t="s">
        <v>164</v>
      </c>
      <c r="C79" s="30" t="s">
        <v>165</v>
      </c>
      <c r="D79" s="76" t="s">
        <v>166</v>
      </c>
      <c r="E79" s="76">
        <v>17</v>
      </c>
      <c r="F79" s="76">
        <v>7</v>
      </c>
      <c r="G79" s="76"/>
      <c r="H79" s="76">
        <v>0</v>
      </c>
      <c r="I79" s="76">
        <v>24</v>
      </c>
      <c r="J79" s="76">
        <v>26</v>
      </c>
      <c r="K79" s="73">
        <v>50</v>
      </c>
      <c r="L79" s="73">
        <v>2</v>
      </c>
      <c r="M79" s="77">
        <v>4</v>
      </c>
      <c r="N79" s="23">
        <v>0.4</v>
      </c>
      <c r="O79" s="23">
        <v>0.6</v>
      </c>
      <c r="P79" s="78" t="s">
        <v>167</v>
      </c>
    </row>
    <row r="80" spans="1:16" x14ac:dyDescent="0.25">
      <c r="A80" s="75"/>
      <c r="B80" s="46"/>
      <c r="C80" s="30" t="s">
        <v>168</v>
      </c>
      <c r="D80" s="76" t="s">
        <v>169</v>
      </c>
      <c r="E80" s="76">
        <v>17</v>
      </c>
      <c r="F80" s="76">
        <v>7</v>
      </c>
      <c r="G80" s="76"/>
      <c r="H80" s="76">
        <v>0</v>
      </c>
      <c r="I80" s="76">
        <v>24</v>
      </c>
      <c r="J80" s="76">
        <v>26</v>
      </c>
      <c r="K80" s="73">
        <v>50</v>
      </c>
      <c r="L80" s="73">
        <v>2</v>
      </c>
      <c r="M80" s="77"/>
      <c r="N80" s="23">
        <v>0.4</v>
      </c>
      <c r="O80" s="23">
        <v>0.6</v>
      </c>
      <c r="P80" s="79"/>
    </row>
    <row r="81" spans="1:16" ht="11.25" customHeight="1" x14ac:dyDescent="0.25">
      <c r="A81" s="75" t="s">
        <v>170</v>
      </c>
      <c r="B81" s="46" t="s">
        <v>171</v>
      </c>
      <c r="C81" s="30" t="s">
        <v>172</v>
      </c>
      <c r="D81" s="76" t="s">
        <v>173</v>
      </c>
      <c r="E81" s="76">
        <v>15</v>
      </c>
      <c r="F81" s="76">
        <v>5</v>
      </c>
      <c r="G81" s="76">
        <v>10</v>
      </c>
      <c r="H81" s="76">
        <v>0</v>
      </c>
      <c r="I81" s="76">
        <v>30</v>
      </c>
      <c r="J81" s="76">
        <v>33</v>
      </c>
      <c r="K81" s="73">
        <v>63</v>
      </c>
      <c r="L81" s="73">
        <v>2.5</v>
      </c>
      <c r="M81" s="77">
        <v>5</v>
      </c>
      <c r="N81" s="23">
        <v>0.4</v>
      </c>
      <c r="O81" s="23">
        <v>0.6</v>
      </c>
      <c r="P81" s="24" t="s">
        <v>174</v>
      </c>
    </row>
    <row r="82" spans="1:16" ht="13.5" customHeight="1" x14ac:dyDescent="0.25">
      <c r="A82" s="75"/>
      <c r="B82" s="46"/>
      <c r="C82" s="30" t="s">
        <v>175</v>
      </c>
      <c r="D82" s="76" t="s">
        <v>176</v>
      </c>
      <c r="E82" s="76">
        <v>15</v>
      </c>
      <c r="F82" s="76">
        <v>5</v>
      </c>
      <c r="G82" s="76">
        <v>10</v>
      </c>
      <c r="H82" s="76">
        <v>0</v>
      </c>
      <c r="I82" s="76">
        <v>30</v>
      </c>
      <c r="J82" s="76">
        <v>32</v>
      </c>
      <c r="K82" s="73">
        <v>62</v>
      </c>
      <c r="L82" s="73">
        <v>2.5</v>
      </c>
      <c r="M82" s="77"/>
      <c r="N82" s="23">
        <v>0.4</v>
      </c>
      <c r="O82" s="23">
        <v>0.6</v>
      </c>
      <c r="P82" s="25"/>
    </row>
    <row r="83" spans="1:16" x14ac:dyDescent="0.25">
      <c r="A83" s="75" t="s">
        <v>177</v>
      </c>
      <c r="B83" s="46" t="s">
        <v>178</v>
      </c>
      <c r="C83" s="30" t="s">
        <v>179</v>
      </c>
      <c r="D83" s="30" t="s">
        <v>180</v>
      </c>
      <c r="E83" s="76">
        <v>11</v>
      </c>
      <c r="F83" s="76">
        <v>8</v>
      </c>
      <c r="G83" s="76">
        <v>5</v>
      </c>
      <c r="H83" s="76">
        <v>0</v>
      </c>
      <c r="I83" s="76">
        <v>24</v>
      </c>
      <c r="J83" s="76">
        <v>26</v>
      </c>
      <c r="K83" s="73">
        <v>50</v>
      </c>
      <c r="L83" s="73">
        <v>2</v>
      </c>
      <c r="M83" s="77">
        <v>4</v>
      </c>
      <c r="N83" s="23">
        <v>0.4</v>
      </c>
      <c r="O83" s="23">
        <v>0.6</v>
      </c>
      <c r="P83" s="24" t="s">
        <v>181</v>
      </c>
    </row>
    <row r="84" spans="1:16" ht="15.75" thickBot="1" x14ac:dyDescent="0.3">
      <c r="A84" s="75"/>
      <c r="B84" s="46"/>
      <c r="C84" s="30" t="s">
        <v>182</v>
      </c>
      <c r="D84" s="30" t="s">
        <v>183</v>
      </c>
      <c r="E84" s="76">
        <v>11</v>
      </c>
      <c r="F84" s="76">
        <v>8</v>
      </c>
      <c r="G84" s="76">
        <v>5</v>
      </c>
      <c r="H84" s="76">
        <v>0</v>
      </c>
      <c r="I84" s="76">
        <v>24</v>
      </c>
      <c r="J84" s="76">
        <v>26</v>
      </c>
      <c r="K84" s="73">
        <v>50</v>
      </c>
      <c r="L84" s="73">
        <v>2</v>
      </c>
      <c r="M84" s="77"/>
      <c r="N84" s="23">
        <v>0.4</v>
      </c>
      <c r="O84" s="23">
        <v>0.6</v>
      </c>
      <c r="P84" s="25"/>
    </row>
    <row r="85" spans="1:16" ht="15.75" thickBot="1" x14ac:dyDescent="0.3">
      <c r="A85" s="26" t="s">
        <v>67</v>
      </c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</row>
    <row r="86" spans="1:16" x14ac:dyDescent="0.25">
      <c r="A86" s="75" t="s">
        <v>184</v>
      </c>
      <c r="B86" s="75" t="s">
        <v>185</v>
      </c>
      <c r="C86" s="76" t="s">
        <v>184</v>
      </c>
      <c r="D86" s="76" t="s">
        <v>186</v>
      </c>
      <c r="E86" s="76">
        <v>7</v>
      </c>
      <c r="F86" s="76"/>
      <c r="G86" s="76">
        <v>5</v>
      </c>
      <c r="H86" s="76">
        <v>0</v>
      </c>
      <c r="I86" s="76">
        <v>12</v>
      </c>
      <c r="J86" s="76">
        <v>13</v>
      </c>
      <c r="K86" s="73">
        <v>25</v>
      </c>
      <c r="L86" s="73">
        <v>1</v>
      </c>
      <c r="M86" s="77">
        <v>1</v>
      </c>
      <c r="N86" s="23">
        <v>0.4</v>
      </c>
      <c r="O86" s="23">
        <v>0.6</v>
      </c>
      <c r="P86" s="24" t="s">
        <v>187</v>
      </c>
    </row>
    <row r="87" spans="1:16" x14ac:dyDescent="0.25">
      <c r="A87" s="75"/>
      <c r="B87" s="75"/>
      <c r="C87" s="76" t="s">
        <v>184</v>
      </c>
      <c r="D87" s="76" t="s">
        <v>188</v>
      </c>
      <c r="E87" s="76">
        <v>7</v>
      </c>
      <c r="F87" s="76"/>
      <c r="G87" s="76">
        <v>5</v>
      </c>
      <c r="H87" s="76">
        <v>0</v>
      </c>
      <c r="I87" s="76">
        <v>12</v>
      </c>
      <c r="J87" s="76">
        <v>13</v>
      </c>
      <c r="K87" s="73">
        <v>25</v>
      </c>
      <c r="L87" s="73">
        <v>1</v>
      </c>
      <c r="M87" s="77"/>
      <c r="N87" s="23">
        <v>0.4</v>
      </c>
      <c r="O87" s="23">
        <v>0.6</v>
      </c>
      <c r="P87" s="48"/>
    </row>
    <row r="88" spans="1:16" x14ac:dyDescent="0.25">
      <c r="A88" s="75"/>
      <c r="B88" s="75"/>
      <c r="C88" s="76" t="s">
        <v>184</v>
      </c>
      <c r="D88" s="76" t="s">
        <v>189</v>
      </c>
      <c r="E88" s="76">
        <v>7</v>
      </c>
      <c r="F88" s="76"/>
      <c r="G88" s="76">
        <v>5</v>
      </c>
      <c r="H88" s="76">
        <v>0</v>
      </c>
      <c r="I88" s="76">
        <v>12</v>
      </c>
      <c r="J88" s="76">
        <v>13</v>
      </c>
      <c r="K88" s="73">
        <v>25</v>
      </c>
      <c r="L88" s="73">
        <v>1</v>
      </c>
      <c r="M88" s="77"/>
      <c r="N88" s="23">
        <v>0.4</v>
      </c>
      <c r="O88" s="23">
        <v>0.6</v>
      </c>
      <c r="P88" s="25"/>
    </row>
    <row r="89" spans="1:16" ht="15.75" thickBot="1" x14ac:dyDescent="0.3">
      <c r="A89" s="32"/>
      <c r="B89" s="32"/>
      <c r="C89" s="32"/>
      <c r="D89" s="32"/>
      <c r="E89" s="50">
        <f t="shared" ref="E89:L89" si="2">SUM(E86,E70:E84)</f>
        <v>178</v>
      </c>
      <c r="F89" s="50">
        <f t="shared" si="2"/>
        <v>84</v>
      </c>
      <c r="G89" s="50">
        <f t="shared" si="2"/>
        <v>98</v>
      </c>
      <c r="H89" s="50">
        <f t="shared" si="2"/>
        <v>0</v>
      </c>
      <c r="I89" s="50">
        <f t="shared" si="2"/>
        <v>360</v>
      </c>
      <c r="J89" s="50">
        <f t="shared" si="2"/>
        <v>390</v>
      </c>
      <c r="K89" s="50">
        <f t="shared" si="2"/>
        <v>750</v>
      </c>
      <c r="L89" s="32">
        <f t="shared" si="2"/>
        <v>30</v>
      </c>
      <c r="M89" s="32"/>
      <c r="N89" s="33"/>
      <c r="O89" s="33"/>
      <c r="P89" s="34"/>
    </row>
    <row r="90" spans="1:16" x14ac:dyDescent="0.25">
      <c r="A90" s="80"/>
      <c r="B90" s="81" t="s">
        <v>190</v>
      </c>
      <c r="C90" s="81"/>
      <c r="D90" s="38"/>
      <c r="E90" s="38"/>
      <c r="F90" s="38"/>
      <c r="G90" s="38"/>
      <c r="H90" s="38"/>
      <c r="I90" s="38"/>
      <c r="J90" s="38"/>
      <c r="K90" s="38"/>
      <c r="L90" s="38"/>
      <c r="M90" s="38"/>
      <c r="P90"/>
    </row>
    <row r="91" spans="1:16" ht="15.75" thickBot="1" x14ac:dyDescent="0.3">
      <c r="A91" s="80"/>
      <c r="B91" s="38"/>
      <c r="C91" s="38"/>
      <c r="D91" s="38" t="s">
        <v>191</v>
      </c>
      <c r="E91" s="38"/>
      <c r="F91" s="38"/>
      <c r="G91" s="38"/>
      <c r="H91" s="38"/>
      <c r="I91" s="38"/>
      <c r="J91" s="38"/>
      <c r="K91" s="38"/>
      <c r="L91" s="38"/>
      <c r="M91" s="38"/>
      <c r="P91"/>
    </row>
    <row r="92" spans="1:16" ht="15.75" thickBot="1" x14ac:dyDescent="0.3">
      <c r="A92" s="82" t="s">
        <v>7</v>
      </c>
      <c r="B92" s="83"/>
      <c r="C92" s="83"/>
      <c r="D92" s="84"/>
      <c r="E92" s="4" t="s">
        <v>8</v>
      </c>
      <c r="F92" s="4"/>
      <c r="G92" s="4"/>
      <c r="H92" s="4"/>
      <c r="I92" s="4"/>
      <c r="J92" s="4"/>
      <c r="K92" s="4"/>
      <c r="L92" s="5" t="s">
        <v>9</v>
      </c>
      <c r="M92" s="5" t="s">
        <v>10</v>
      </c>
      <c r="N92" s="42" t="s">
        <v>11</v>
      </c>
      <c r="O92" s="42"/>
      <c r="P92" s="7" t="s">
        <v>12</v>
      </c>
    </row>
    <row r="93" spans="1:16" ht="24.75" thickBot="1" x14ac:dyDescent="0.3">
      <c r="A93" s="85" t="s">
        <v>13</v>
      </c>
      <c r="B93" s="8" t="s">
        <v>14</v>
      </c>
      <c r="C93" s="9" t="s">
        <v>15</v>
      </c>
      <c r="D93" s="8" t="s">
        <v>16</v>
      </c>
      <c r="E93" s="8" t="s">
        <v>17</v>
      </c>
      <c r="F93" s="8" t="s">
        <v>18</v>
      </c>
      <c r="G93" s="8" t="s">
        <v>19</v>
      </c>
      <c r="H93" s="8" t="s">
        <v>20</v>
      </c>
      <c r="I93" s="10" t="s">
        <v>21</v>
      </c>
      <c r="J93" s="8" t="s">
        <v>22</v>
      </c>
      <c r="K93" s="8" t="s">
        <v>23</v>
      </c>
      <c r="L93" s="11"/>
      <c r="M93" s="11"/>
      <c r="N93" s="12" t="s">
        <v>24</v>
      </c>
      <c r="O93" s="12" t="s">
        <v>25</v>
      </c>
      <c r="P93" s="13"/>
    </row>
    <row r="94" spans="1:16" x14ac:dyDescent="0.25">
      <c r="A94" s="14" t="s">
        <v>26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</row>
    <row r="95" spans="1:16" x14ac:dyDescent="0.25">
      <c r="A95" s="86" t="s">
        <v>192</v>
      </c>
      <c r="B95" s="17" t="s">
        <v>193</v>
      </c>
      <c r="C95" s="18" t="s">
        <v>194</v>
      </c>
      <c r="D95" s="18" t="s">
        <v>195</v>
      </c>
      <c r="E95" s="20">
        <v>16</v>
      </c>
      <c r="F95" s="20">
        <v>8</v>
      </c>
      <c r="G95" s="20">
        <v>0</v>
      </c>
      <c r="H95" s="20">
        <v>0</v>
      </c>
      <c r="I95" s="20">
        <v>24</v>
      </c>
      <c r="J95" s="20">
        <v>26</v>
      </c>
      <c r="K95" s="8">
        <v>50</v>
      </c>
      <c r="L95" s="8">
        <v>2</v>
      </c>
      <c r="M95" s="11">
        <v>4</v>
      </c>
      <c r="N95" s="23">
        <v>0.4</v>
      </c>
      <c r="O95" s="23">
        <v>0.6</v>
      </c>
      <c r="P95" s="78" t="s">
        <v>196</v>
      </c>
    </row>
    <row r="96" spans="1:16" x14ac:dyDescent="0.25">
      <c r="A96" s="86"/>
      <c r="B96" s="17"/>
      <c r="C96" s="18" t="s">
        <v>197</v>
      </c>
      <c r="D96" s="18" t="s">
        <v>198</v>
      </c>
      <c r="E96" s="20">
        <v>16</v>
      </c>
      <c r="F96" s="20">
        <v>8</v>
      </c>
      <c r="G96" s="20">
        <v>0</v>
      </c>
      <c r="H96" s="20">
        <v>0</v>
      </c>
      <c r="I96" s="20">
        <v>24</v>
      </c>
      <c r="J96" s="20">
        <v>26</v>
      </c>
      <c r="K96" s="8">
        <v>50</v>
      </c>
      <c r="L96" s="8">
        <v>2</v>
      </c>
      <c r="M96" s="11"/>
      <c r="N96" s="23">
        <v>0.4</v>
      </c>
      <c r="O96" s="23">
        <v>0.6</v>
      </c>
      <c r="P96" s="79"/>
    </row>
    <row r="97" spans="1:16" x14ac:dyDescent="0.25">
      <c r="A97" s="86" t="s">
        <v>199</v>
      </c>
      <c r="B97" s="87" t="s">
        <v>200</v>
      </c>
      <c r="C97" s="19" t="s">
        <v>201</v>
      </c>
      <c r="D97" s="19" t="s">
        <v>202</v>
      </c>
      <c r="E97" s="20">
        <v>11</v>
      </c>
      <c r="F97" s="20">
        <v>8</v>
      </c>
      <c r="G97" s="20">
        <v>5</v>
      </c>
      <c r="H97" s="20">
        <v>0</v>
      </c>
      <c r="I97" s="20">
        <v>24</v>
      </c>
      <c r="J97" s="20">
        <v>26</v>
      </c>
      <c r="K97" s="8">
        <v>50</v>
      </c>
      <c r="L97" s="8">
        <v>2</v>
      </c>
      <c r="M97" s="11">
        <v>4</v>
      </c>
      <c r="N97" s="23">
        <v>0.4</v>
      </c>
      <c r="O97" s="23">
        <v>0.6</v>
      </c>
      <c r="P97" s="78" t="s">
        <v>203</v>
      </c>
    </row>
    <row r="98" spans="1:16" x14ac:dyDescent="0.25">
      <c r="A98" s="86"/>
      <c r="B98" s="87"/>
      <c r="C98" s="19" t="s">
        <v>204</v>
      </c>
      <c r="D98" s="19" t="s">
        <v>205</v>
      </c>
      <c r="E98" s="20">
        <v>11</v>
      </c>
      <c r="F98" s="20">
        <v>8</v>
      </c>
      <c r="G98" s="20">
        <v>5</v>
      </c>
      <c r="H98" s="20">
        <v>0</v>
      </c>
      <c r="I98" s="20">
        <v>24</v>
      </c>
      <c r="J98" s="20">
        <v>26</v>
      </c>
      <c r="K98" s="8">
        <v>50</v>
      </c>
      <c r="L98" s="8">
        <v>2</v>
      </c>
      <c r="M98" s="11"/>
      <c r="N98" s="23">
        <v>0.4</v>
      </c>
      <c r="O98" s="23">
        <v>0.6</v>
      </c>
      <c r="P98" s="79"/>
    </row>
    <row r="99" spans="1:16" x14ac:dyDescent="0.25">
      <c r="A99" s="86" t="s">
        <v>206</v>
      </c>
      <c r="B99" s="17" t="s">
        <v>207</v>
      </c>
      <c r="C99" s="18" t="s">
        <v>208</v>
      </c>
      <c r="D99" s="20" t="s">
        <v>209</v>
      </c>
      <c r="E99" s="20">
        <v>11</v>
      </c>
      <c r="F99" s="20">
        <v>8</v>
      </c>
      <c r="G99" s="20">
        <v>5</v>
      </c>
      <c r="H99" s="20">
        <v>0</v>
      </c>
      <c r="I99" s="20">
        <v>24</v>
      </c>
      <c r="J99" s="20">
        <v>26</v>
      </c>
      <c r="K99" s="8">
        <v>50</v>
      </c>
      <c r="L99" s="8">
        <v>2</v>
      </c>
      <c r="M99" s="11">
        <v>5</v>
      </c>
      <c r="N99" s="23">
        <v>0.4</v>
      </c>
      <c r="O99" s="23">
        <v>0.6</v>
      </c>
      <c r="P99" s="78" t="s">
        <v>59</v>
      </c>
    </row>
    <row r="100" spans="1:16" ht="24" x14ac:dyDescent="0.25">
      <c r="A100" s="86"/>
      <c r="B100" s="17"/>
      <c r="C100" s="18" t="s">
        <v>210</v>
      </c>
      <c r="D100" s="20" t="s">
        <v>211</v>
      </c>
      <c r="E100" s="20">
        <v>20</v>
      </c>
      <c r="F100" s="20">
        <v>9</v>
      </c>
      <c r="G100" s="20">
        <v>7</v>
      </c>
      <c r="H100" s="20">
        <v>0</v>
      </c>
      <c r="I100" s="20">
        <v>36</v>
      </c>
      <c r="J100" s="20">
        <v>39</v>
      </c>
      <c r="K100" s="8">
        <v>75</v>
      </c>
      <c r="L100" s="8">
        <v>3</v>
      </c>
      <c r="M100" s="11"/>
      <c r="N100" s="23">
        <v>0.4</v>
      </c>
      <c r="O100" s="23">
        <v>0.6</v>
      </c>
      <c r="P100" s="79"/>
    </row>
    <row r="101" spans="1:16" x14ac:dyDescent="0.25">
      <c r="A101" s="86" t="s">
        <v>212</v>
      </c>
      <c r="B101" s="17" t="s">
        <v>213</v>
      </c>
      <c r="C101" s="18" t="s">
        <v>214</v>
      </c>
      <c r="D101" s="18" t="s">
        <v>215</v>
      </c>
      <c r="E101" s="20">
        <v>14</v>
      </c>
      <c r="F101" s="20">
        <v>12</v>
      </c>
      <c r="G101" s="20">
        <v>10</v>
      </c>
      <c r="H101" s="20">
        <v>0</v>
      </c>
      <c r="I101" s="20">
        <v>36</v>
      </c>
      <c r="J101" s="20">
        <v>39</v>
      </c>
      <c r="K101" s="8">
        <v>75</v>
      </c>
      <c r="L101" s="8">
        <v>3</v>
      </c>
      <c r="M101" s="11">
        <v>5</v>
      </c>
      <c r="N101" s="23">
        <v>0.4</v>
      </c>
      <c r="O101" s="23">
        <v>0.6</v>
      </c>
      <c r="P101" s="78" t="s">
        <v>216</v>
      </c>
    </row>
    <row r="102" spans="1:16" ht="24" x14ac:dyDescent="0.25">
      <c r="A102" s="86"/>
      <c r="B102" s="17"/>
      <c r="C102" s="18" t="s">
        <v>217</v>
      </c>
      <c r="D102" s="18" t="s">
        <v>218</v>
      </c>
      <c r="E102" s="20">
        <v>9</v>
      </c>
      <c r="F102" s="20">
        <v>7</v>
      </c>
      <c r="G102" s="20">
        <v>8</v>
      </c>
      <c r="H102" s="20">
        <v>0</v>
      </c>
      <c r="I102" s="20">
        <v>24</v>
      </c>
      <c r="J102" s="20">
        <v>26</v>
      </c>
      <c r="K102" s="8">
        <v>50</v>
      </c>
      <c r="L102" s="8">
        <v>2</v>
      </c>
      <c r="M102" s="11"/>
      <c r="N102" s="23">
        <v>0.4</v>
      </c>
      <c r="O102" s="23">
        <v>0.6</v>
      </c>
      <c r="P102" s="79"/>
    </row>
    <row r="103" spans="1:16" x14ac:dyDescent="0.25">
      <c r="A103" s="86" t="s">
        <v>219</v>
      </c>
      <c r="B103" s="88" t="s">
        <v>220</v>
      </c>
      <c r="C103" s="19" t="s">
        <v>221</v>
      </c>
      <c r="D103" s="20" t="s">
        <v>222</v>
      </c>
      <c r="E103" s="20">
        <v>20</v>
      </c>
      <c r="F103" s="20">
        <v>6</v>
      </c>
      <c r="G103" s="20">
        <v>10</v>
      </c>
      <c r="H103" s="20">
        <v>0</v>
      </c>
      <c r="I103" s="20">
        <v>36</v>
      </c>
      <c r="J103" s="20">
        <v>39</v>
      </c>
      <c r="K103" s="8">
        <v>75</v>
      </c>
      <c r="L103" s="8">
        <v>3</v>
      </c>
      <c r="M103" s="11">
        <v>5</v>
      </c>
      <c r="N103" s="23">
        <v>0.4</v>
      </c>
      <c r="O103" s="23">
        <v>0.6</v>
      </c>
      <c r="P103" s="78" t="s">
        <v>59</v>
      </c>
    </row>
    <row r="104" spans="1:16" x14ac:dyDescent="0.25">
      <c r="A104" s="86"/>
      <c r="B104" s="88"/>
      <c r="C104" s="19" t="s">
        <v>223</v>
      </c>
      <c r="D104" s="20" t="s">
        <v>224</v>
      </c>
      <c r="E104" s="20">
        <v>9</v>
      </c>
      <c r="F104" s="20">
        <v>5</v>
      </c>
      <c r="G104" s="20">
        <v>10</v>
      </c>
      <c r="H104" s="20">
        <v>0</v>
      </c>
      <c r="I104" s="20">
        <v>24</v>
      </c>
      <c r="J104" s="20">
        <v>26</v>
      </c>
      <c r="K104" s="8">
        <v>50</v>
      </c>
      <c r="L104" s="8">
        <v>2</v>
      </c>
      <c r="M104" s="11"/>
      <c r="N104" s="23">
        <v>0.4</v>
      </c>
      <c r="O104" s="23">
        <v>0.6</v>
      </c>
      <c r="P104" s="79"/>
    </row>
    <row r="105" spans="1:16" x14ac:dyDescent="0.25">
      <c r="A105" s="86" t="s">
        <v>225</v>
      </c>
      <c r="B105" s="89" t="s">
        <v>226</v>
      </c>
      <c r="C105" s="90" t="s">
        <v>227</v>
      </c>
      <c r="D105" s="20" t="s">
        <v>228</v>
      </c>
      <c r="E105" s="20">
        <v>6</v>
      </c>
      <c r="F105" s="20">
        <v>6</v>
      </c>
      <c r="G105" s="20">
        <v>0</v>
      </c>
      <c r="H105" s="20">
        <v>0</v>
      </c>
      <c r="I105" s="20">
        <v>12</v>
      </c>
      <c r="J105" s="20">
        <v>13</v>
      </c>
      <c r="K105" s="8">
        <v>25</v>
      </c>
      <c r="L105" s="8">
        <v>1</v>
      </c>
      <c r="M105" s="11">
        <v>2</v>
      </c>
      <c r="N105" s="23">
        <v>0.4</v>
      </c>
      <c r="O105" s="23">
        <v>0.6</v>
      </c>
      <c r="P105" s="78" t="s">
        <v>229</v>
      </c>
    </row>
    <row r="106" spans="1:16" ht="15.75" thickBot="1" x14ac:dyDescent="0.3">
      <c r="A106" s="86"/>
      <c r="B106" s="89"/>
      <c r="C106" s="90" t="s">
        <v>230</v>
      </c>
      <c r="D106" s="20" t="s">
        <v>231</v>
      </c>
      <c r="E106" s="20">
        <v>6</v>
      </c>
      <c r="F106" s="20">
        <v>6</v>
      </c>
      <c r="G106" s="20">
        <v>0</v>
      </c>
      <c r="H106" s="20">
        <v>0</v>
      </c>
      <c r="I106" s="20">
        <v>12</v>
      </c>
      <c r="J106" s="20">
        <v>13</v>
      </c>
      <c r="K106" s="8">
        <v>25</v>
      </c>
      <c r="L106" s="8">
        <v>1</v>
      </c>
      <c r="M106" s="11"/>
      <c r="N106" s="23">
        <v>0.4</v>
      </c>
      <c r="O106" s="23">
        <v>0.6</v>
      </c>
      <c r="P106" s="79"/>
    </row>
    <row r="107" spans="1:16" ht="15.75" thickBot="1" x14ac:dyDescent="0.3">
      <c r="A107" s="26" t="s">
        <v>62</v>
      </c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</row>
    <row r="108" spans="1:16" ht="25.5" thickBot="1" x14ac:dyDescent="0.3">
      <c r="A108" s="91" t="s">
        <v>232</v>
      </c>
      <c r="B108" s="20" t="s">
        <v>233</v>
      </c>
      <c r="C108" s="20" t="s">
        <v>232</v>
      </c>
      <c r="D108" s="20" t="s">
        <v>233</v>
      </c>
      <c r="E108" s="20">
        <v>14</v>
      </c>
      <c r="F108" s="20">
        <v>10</v>
      </c>
      <c r="G108" s="20">
        <v>0</v>
      </c>
      <c r="H108" s="20">
        <v>0</v>
      </c>
      <c r="I108" s="20">
        <v>24</v>
      </c>
      <c r="J108" s="20">
        <v>26</v>
      </c>
      <c r="K108" s="8">
        <v>50</v>
      </c>
      <c r="L108" s="8">
        <v>2</v>
      </c>
      <c r="M108" s="8">
        <v>2</v>
      </c>
      <c r="N108" s="23">
        <v>0.4</v>
      </c>
      <c r="O108" s="23">
        <v>0.6</v>
      </c>
      <c r="P108" s="92" t="s">
        <v>234</v>
      </c>
    </row>
    <row r="109" spans="1:16" ht="15.75" thickBot="1" x14ac:dyDescent="0.3">
      <c r="A109" s="26" t="s">
        <v>67</v>
      </c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</row>
    <row r="110" spans="1:16" x14ac:dyDescent="0.25">
      <c r="A110" s="86" t="s">
        <v>235</v>
      </c>
      <c r="B110" s="16" t="s">
        <v>236</v>
      </c>
      <c r="C110" s="20" t="s">
        <v>237</v>
      </c>
      <c r="D110" s="20" t="s">
        <v>238</v>
      </c>
      <c r="E110" s="20">
        <v>7</v>
      </c>
      <c r="F110" s="20">
        <v>5</v>
      </c>
      <c r="G110" s="20">
        <v>0</v>
      </c>
      <c r="H110" s="20">
        <v>0</v>
      </c>
      <c r="I110" s="20">
        <v>12</v>
      </c>
      <c r="J110" s="20">
        <v>13</v>
      </c>
      <c r="K110" s="8">
        <v>25</v>
      </c>
      <c r="L110" s="8">
        <v>1</v>
      </c>
      <c r="M110" s="11">
        <v>3</v>
      </c>
      <c r="N110" s="23">
        <v>0.4</v>
      </c>
      <c r="O110" s="23">
        <v>0.6</v>
      </c>
      <c r="P110" s="78" t="s">
        <v>239</v>
      </c>
    </row>
    <row r="111" spans="1:16" x14ac:dyDescent="0.25">
      <c r="A111" s="86"/>
      <c r="B111" s="16"/>
      <c r="C111" s="20" t="s">
        <v>240</v>
      </c>
      <c r="D111" s="20" t="s">
        <v>241</v>
      </c>
      <c r="E111" s="20">
        <v>7</v>
      </c>
      <c r="F111" s="20">
        <v>5</v>
      </c>
      <c r="G111" s="20">
        <v>0</v>
      </c>
      <c r="H111" s="20">
        <v>0</v>
      </c>
      <c r="I111" s="20">
        <v>12</v>
      </c>
      <c r="J111" s="20">
        <v>13</v>
      </c>
      <c r="K111" s="8">
        <v>25</v>
      </c>
      <c r="L111" s="8">
        <v>1</v>
      </c>
      <c r="M111" s="11"/>
      <c r="N111" s="23">
        <v>0.4</v>
      </c>
      <c r="O111" s="23">
        <v>0.6</v>
      </c>
      <c r="P111" s="93"/>
    </row>
    <row r="112" spans="1:16" x14ac:dyDescent="0.25">
      <c r="A112" s="86"/>
      <c r="B112" s="16"/>
      <c r="C112" s="20" t="s">
        <v>242</v>
      </c>
      <c r="D112" s="76" t="s">
        <v>243</v>
      </c>
      <c r="E112" s="20">
        <v>8</v>
      </c>
      <c r="F112" s="20">
        <v>4</v>
      </c>
      <c r="G112" s="20">
        <v>0</v>
      </c>
      <c r="H112" s="20">
        <v>0</v>
      </c>
      <c r="I112" s="20">
        <v>12</v>
      </c>
      <c r="J112" s="20">
        <v>13</v>
      </c>
      <c r="K112" s="8">
        <v>25</v>
      </c>
      <c r="L112" s="8">
        <v>1</v>
      </c>
      <c r="M112" s="11"/>
      <c r="N112" s="23">
        <v>0.4</v>
      </c>
      <c r="O112" s="23">
        <v>0.6</v>
      </c>
      <c r="P112" s="79"/>
    </row>
    <row r="113" spans="1:16" ht="15.75" thickBot="1" x14ac:dyDescent="0.3">
      <c r="A113" s="94"/>
      <c r="B113" s="32"/>
      <c r="C113" s="32"/>
      <c r="D113" s="32"/>
      <c r="E113" s="50">
        <f t="shared" ref="E113:L113" si="3">SUM(E110:E112,E108,E95:E106)</f>
        <v>185</v>
      </c>
      <c r="F113" s="50">
        <f t="shared" si="3"/>
        <v>115</v>
      </c>
      <c r="G113" s="50">
        <f t="shared" si="3"/>
        <v>60</v>
      </c>
      <c r="H113" s="50">
        <f t="shared" si="3"/>
        <v>0</v>
      </c>
      <c r="I113" s="50">
        <f t="shared" si="3"/>
        <v>360</v>
      </c>
      <c r="J113" s="50">
        <f t="shared" si="3"/>
        <v>390</v>
      </c>
      <c r="K113" s="50">
        <f t="shared" si="3"/>
        <v>750</v>
      </c>
      <c r="L113" s="32">
        <f t="shared" si="3"/>
        <v>30</v>
      </c>
      <c r="M113" s="32"/>
      <c r="N113" s="33"/>
      <c r="O113" s="33"/>
      <c r="P113" s="34"/>
    </row>
    <row r="121" spans="1:16" x14ac:dyDescent="0.25">
      <c r="A121" s="95"/>
      <c r="B121" s="1"/>
      <c r="C121" s="1"/>
      <c r="D121" s="1" t="s">
        <v>0</v>
      </c>
      <c r="E121" s="95"/>
      <c r="F121" s="95"/>
      <c r="G121" s="95"/>
      <c r="H121" s="96"/>
      <c r="I121" s="97"/>
      <c r="J121" s="95"/>
      <c r="K121" s="96"/>
      <c r="L121" s="96"/>
      <c r="M121" s="96"/>
      <c r="N121" s="96"/>
      <c r="O121" s="96"/>
      <c r="P121" s="95"/>
    </row>
    <row r="122" spans="1:16" x14ac:dyDescent="0.25">
      <c r="A122" s="95"/>
      <c r="B122" s="2"/>
      <c r="C122" s="1"/>
      <c r="D122" s="1" t="s">
        <v>1</v>
      </c>
      <c r="E122" s="95"/>
      <c r="F122" s="95"/>
      <c r="G122" s="95"/>
      <c r="H122" s="96"/>
      <c r="I122" s="97"/>
      <c r="J122" s="95"/>
      <c r="K122" s="96"/>
      <c r="L122" s="96"/>
      <c r="M122" s="96"/>
      <c r="N122" s="96"/>
      <c r="O122" s="96"/>
      <c r="P122" s="95"/>
    </row>
    <row r="123" spans="1:16" x14ac:dyDescent="0.25">
      <c r="A123" s="96"/>
      <c r="B123" s="1"/>
      <c r="C123" s="1"/>
      <c r="D123" s="1" t="s">
        <v>244</v>
      </c>
      <c r="E123" s="96"/>
      <c r="F123" s="96"/>
      <c r="G123" s="96"/>
      <c r="H123" s="96"/>
      <c r="I123" s="1"/>
      <c r="J123" s="96"/>
      <c r="K123" s="96"/>
      <c r="L123" s="96"/>
      <c r="M123" s="96"/>
      <c r="N123" s="96"/>
      <c r="O123" s="96"/>
      <c r="P123" s="98"/>
    </row>
    <row r="124" spans="1:16" x14ac:dyDescent="0.25">
      <c r="A124" s="96"/>
      <c r="B124" s="1"/>
      <c r="C124" s="1"/>
      <c r="D124" s="1" t="s">
        <v>3</v>
      </c>
      <c r="E124" s="96"/>
      <c r="F124" s="96"/>
      <c r="G124" s="96"/>
      <c r="H124" s="96"/>
      <c r="I124" s="1"/>
      <c r="J124" s="96"/>
      <c r="K124" s="96"/>
      <c r="L124" s="96"/>
      <c r="M124" s="96"/>
      <c r="N124" s="96"/>
      <c r="O124" s="96"/>
      <c r="P124" s="96"/>
    </row>
    <row r="125" spans="1:16" x14ac:dyDescent="0.25">
      <c r="A125" s="96"/>
      <c r="B125" s="1"/>
      <c r="C125" s="1"/>
      <c r="D125" s="2" t="s">
        <v>245</v>
      </c>
      <c r="E125" s="96"/>
      <c r="F125" s="96"/>
      <c r="G125" s="96"/>
      <c r="H125" s="96"/>
      <c r="I125" s="1"/>
      <c r="J125" s="96"/>
      <c r="K125" s="96"/>
      <c r="L125" s="96"/>
      <c r="M125" s="96"/>
      <c r="N125" s="96"/>
      <c r="O125" s="96"/>
      <c r="P125" s="96"/>
    </row>
    <row r="126" spans="1:16" x14ac:dyDescent="0.25">
      <c r="A126" s="96"/>
      <c r="B126" s="1"/>
      <c r="C126" s="1"/>
      <c r="D126" s="1" t="s">
        <v>246</v>
      </c>
      <c r="E126" s="96"/>
      <c r="F126" s="96"/>
      <c r="G126" s="96"/>
      <c r="H126" s="96"/>
      <c r="I126" s="1"/>
      <c r="J126" s="96"/>
      <c r="K126" s="96"/>
      <c r="L126" s="96"/>
      <c r="M126" s="96"/>
      <c r="N126" s="96"/>
      <c r="O126" s="96"/>
      <c r="P126" s="96"/>
    </row>
    <row r="127" spans="1:16" ht="15.75" thickBot="1" x14ac:dyDescent="0.3">
      <c r="A127" s="96"/>
      <c r="B127" s="1"/>
      <c r="C127" s="1"/>
      <c r="D127" s="1" t="s">
        <v>247</v>
      </c>
      <c r="E127" s="96"/>
      <c r="F127" s="96"/>
      <c r="G127" s="96"/>
      <c r="H127" s="96"/>
      <c r="I127" s="1"/>
      <c r="J127" s="96"/>
      <c r="K127" s="96"/>
      <c r="L127" s="96"/>
      <c r="M127" s="96"/>
      <c r="N127" s="96"/>
      <c r="O127" s="96"/>
      <c r="P127" s="96"/>
    </row>
    <row r="128" spans="1:16" x14ac:dyDescent="0.25">
      <c r="A128" s="99"/>
      <c r="B128" s="100" t="s">
        <v>248</v>
      </c>
      <c r="C128" s="100"/>
      <c r="D128" s="100"/>
      <c r="E128" s="100" t="s">
        <v>249</v>
      </c>
      <c r="F128" s="100"/>
      <c r="G128" s="100"/>
      <c r="H128" s="100"/>
      <c r="I128" s="100"/>
      <c r="J128" s="100"/>
      <c r="K128" s="100"/>
      <c r="L128" s="101" t="s">
        <v>250</v>
      </c>
      <c r="M128" s="102" t="s">
        <v>251</v>
      </c>
      <c r="N128" s="103" t="s">
        <v>11</v>
      </c>
      <c r="O128" s="103"/>
      <c r="P128" s="102" t="s">
        <v>12</v>
      </c>
    </row>
    <row r="129" spans="1:16" ht="15.75" thickBot="1" x14ac:dyDescent="0.3">
      <c r="A129" s="104" t="s">
        <v>252</v>
      </c>
      <c r="B129" s="105" t="s">
        <v>253</v>
      </c>
      <c r="C129" s="106" t="s">
        <v>254</v>
      </c>
      <c r="D129" s="107" t="s">
        <v>16</v>
      </c>
      <c r="E129" s="107" t="s">
        <v>255</v>
      </c>
      <c r="F129" s="107" t="s">
        <v>18</v>
      </c>
      <c r="G129" s="107" t="s">
        <v>19</v>
      </c>
      <c r="H129" s="107" t="s">
        <v>20</v>
      </c>
      <c r="I129" s="108" t="s">
        <v>21</v>
      </c>
      <c r="J129" s="107" t="s">
        <v>22</v>
      </c>
      <c r="K129" s="107" t="s">
        <v>23</v>
      </c>
      <c r="L129" s="109"/>
      <c r="M129" s="110"/>
      <c r="N129" s="111" t="s">
        <v>24</v>
      </c>
      <c r="O129" s="111" t="s">
        <v>25</v>
      </c>
      <c r="P129" s="110"/>
    </row>
    <row r="130" spans="1:16" ht="13.5" customHeight="1" thickBot="1" x14ac:dyDescent="0.3">
      <c r="A130" s="14" t="s">
        <v>26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</row>
    <row r="131" spans="1:16" x14ac:dyDescent="0.25">
      <c r="A131" s="212" t="s">
        <v>256</v>
      </c>
      <c r="B131" s="136" t="s">
        <v>257</v>
      </c>
      <c r="C131" s="114" t="s">
        <v>258</v>
      </c>
      <c r="D131" s="136" t="s">
        <v>259</v>
      </c>
      <c r="E131" s="114">
        <v>16</v>
      </c>
      <c r="F131" s="114">
        <v>0</v>
      </c>
      <c r="G131" s="114">
        <v>8</v>
      </c>
      <c r="H131" s="114">
        <v>0</v>
      </c>
      <c r="I131" s="114">
        <v>24</v>
      </c>
      <c r="J131" s="114">
        <v>26</v>
      </c>
      <c r="K131" s="114">
        <v>50</v>
      </c>
      <c r="L131" s="114">
        <v>2</v>
      </c>
      <c r="M131" s="213">
        <v>4</v>
      </c>
      <c r="N131" s="137">
        <v>0.4</v>
      </c>
      <c r="O131" s="137">
        <v>0.6</v>
      </c>
      <c r="P131" s="214" t="s">
        <v>260</v>
      </c>
    </row>
    <row r="132" spans="1:16" ht="24" customHeight="1" thickBot="1" x14ac:dyDescent="0.3">
      <c r="A132" s="215"/>
      <c r="B132" s="140" t="s">
        <v>261</v>
      </c>
      <c r="C132" s="139" t="s">
        <v>262</v>
      </c>
      <c r="D132" s="216" t="s">
        <v>263</v>
      </c>
      <c r="E132" s="139">
        <v>16</v>
      </c>
      <c r="F132" s="139">
        <v>0</v>
      </c>
      <c r="G132" s="139">
        <v>8</v>
      </c>
      <c r="H132" s="139">
        <v>0</v>
      </c>
      <c r="I132" s="139">
        <v>24</v>
      </c>
      <c r="J132" s="139">
        <v>26</v>
      </c>
      <c r="K132" s="139">
        <v>50</v>
      </c>
      <c r="L132" s="139">
        <v>2</v>
      </c>
      <c r="M132" s="217"/>
      <c r="N132" s="141">
        <v>0.4</v>
      </c>
      <c r="O132" s="141">
        <v>0.6</v>
      </c>
      <c r="P132" s="218" t="s">
        <v>264</v>
      </c>
    </row>
    <row r="133" spans="1:16" ht="16.5" customHeight="1" x14ac:dyDescent="0.25">
      <c r="A133" s="117" t="s">
        <v>265</v>
      </c>
      <c r="B133" s="125" t="s">
        <v>266</v>
      </c>
      <c r="C133" s="126" t="s">
        <v>267</v>
      </c>
      <c r="D133" s="127" t="s">
        <v>268</v>
      </c>
      <c r="E133" s="128">
        <v>8</v>
      </c>
      <c r="F133" s="128">
        <v>0</v>
      </c>
      <c r="G133" s="128">
        <v>4</v>
      </c>
      <c r="H133" s="128">
        <v>0</v>
      </c>
      <c r="I133" s="128">
        <v>12</v>
      </c>
      <c r="J133" s="128">
        <v>13</v>
      </c>
      <c r="K133" s="128">
        <v>25</v>
      </c>
      <c r="L133" s="128">
        <v>1</v>
      </c>
      <c r="M133" s="119">
        <v>4</v>
      </c>
      <c r="N133" s="129">
        <v>0.4</v>
      </c>
      <c r="O133" s="129">
        <v>0.6</v>
      </c>
      <c r="P133" s="120" t="s">
        <v>269</v>
      </c>
    </row>
    <row r="134" spans="1:16" ht="12" customHeight="1" x14ac:dyDescent="0.25">
      <c r="A134" s="117"/>
      <c r="B134" s="125" t="s">
        <v>270</v>
      </c>
      <c r="C134" s="130" t="s">
        <v>271</v>
      </c>
      <c r="D134" s="131" t="s">
        <v>272</v>
      </c>
      <c r="E134" s="130">
        <v>8</v>
      </c>
      <c r="F134" s="130">
        <v>0</v>
      </c>
      <c r="G134" s="130">
        <v>4</v>
      </c>
      <c r="H134" s="130">
        <v>0</v>
      </c>
      <c r="I134" s="130">
        <v>12</v>
      </c>
      <c r="J134" s="130">
        <v>13</v>
      </c>
      <c r="K134" s="130">
        <v>25</v>
      </c>
      <c r="L134" s="130">
        <v>1</v>
      </c>
      <c r="M134" s="119"/>
      <c r="N134" s="132">
        <v>0.4</v>
      </c>
      <c r="O134" s="132">
        <v>0.6</v>
      </c>
      <c r="P134" s="120" t="s">
        <v>273</v>
      </c>
    </row>
    <row r="135" spans="1:16" ht="12" customHeight="1" thickBot="1" x14ac:dyDescent="0.3">
      <c r="A135" s="117"/>
      <c r="B135" s="125" t="s">
        <v>274</v>
      </c>
      <c r="C135" s="133" t="s">
        <v>275</v>
      </c>
      <c r="D135" s="134" t="s">
        <v>276</v>
      </c>
      <c r="E135" s="133">
        <v>12</v>
      </c>
      <c r="F135" s="133">
        <v>4</v>
      </c>
      <c r="G135" s="133">
        <v>8</v>
      </c>
      <c r="H135" s="133">
        <v>0</v>
      </c>
      <c r="I135" s="133">
        <v>24</v>
      </c>
      <c r="J135" s="133">
        <v>26</v>
      </c>
      <c r="K135" s="133">
        <v>50</v>
      </c>
      <c r="L135" s="133">
        <v>2</v>
      </c>
      <c r="M135" s="119"/>
      <c r="N135" s="135">
        <v>0.4</v>
      </c>
      <c r="O135" s="135">
        <v>0.6</v>
      </c>
      <c r="P135" s="120"/>
    </row>
    <row r="136" spans="1:16" ht="24" x14ac:dyDescent="0.25">
      <c r="A136" s="112" t="s">
        <v>277</v>
      </c>
      <c r="B136" s="113" t="s">
        <v>278</v>
      </c>
      <c r="C136" s="114" t="s">
        <v>279</v>
      </c>
      <c r="D136" s="136" t="s">
        <v>280</v>
      </c>
      <c r="E136" s="114">
        <v>16</v>
      </c>
      <c r="F136" s="114">
        <v>0</v>
      </c>
      <c r="G136" s="114">
        <v>0</v>
      </c>
      <c r="H136" s="114">
        <v>8</v>
      </c>
      <c r="I136" s="114">
        <v>24</v>
      </c>
      <c r="J136" s="114">
        <v>26</v>
      </c>
      <c r="K136" s="114">
        <v>50</v>
      </c>
      <c r="L136" s="114">
        <v>2</v>
      </c>
      <c r="M136" s="115">
        <v>5</v>
      </c>
      <c r="N136" s="137">
        <v>0.4</v>
      </c>
      <c r="O136" s="137">
        <v>0.6</v>
      </c>
      <c r="P136" s="116" t="s">
        <v>281</v>
      </c>
    </row>
    <row r="137" spans="1:16" ht="36" x14ac:dyDescent="0.25">
      <c r="A137" s="117"/>
      <c r="B137" s="125" t="s">
        <v>282</v>
      </c>
      <c r="C137" s="130" t="s">
        <v>283</v>
      </c>
      <c r="D137" s="131" t="s">
        <v>284</v>
      </c>
      <c r="E137" s="130">
        <v>16</v>
      </c>
      <c r="F137" s="130">
        <v>0</v>
      </c>
      <c r="G137" s="130">
        <v>0</v>
      </c>
      <c r="H137" s="130">
        <v>8</v>
      </c>
      <c r="I137" s="130">
        <v>24</v>
      </c>
      <c r="J137" s="130">
        <v>26</v>
      </c>
      <c r="K137" s="130">
        <v>50</v>
      </c>
      <c r="L137" s="130">
        <v>2</v>
      </c>
      <c r="M137" s="119"/>
      <c r="N137" s="132">
        <v>0.4</v>
      </c>
      <c r="O137" s="132">
        <v>0.6</v>
      </c>
      <c r="P137" s="120" t="s">
        <v>285</v>
      </c>
    </row>
    <row r="138" spans="1:16" ht="15.75" thickBot="1" x14ac:dyDescent="0.3">
      <c r="A138" s="121"/>
      <c r="B138" s="138" t="s">
        <v>286</v>
      </c>
      <c r="C138" s="139" t="s">
        <v>287</v>
      </c>
      <c r="D138" s="140" t="s">
        <v>288</v>
      </c>
      <c r="E138" s="139">
        <v>8</v>
      </c>
      <c r="F138" s="139">
        <v>4</v>
      </c>
      <c r="G138" s="139">
        <v>0</v>
      </c>
      <c r="H138" s="139">
        <v>0</v>
      </c>
      <c r="I138" s="139">
        <v>12</v>
      </c>
      <c r="J138" s="139">
        <v>13</v>
      </c>
      <c r="K138" s="139">
        <v>25</v>
      </c>
      <c r="L138" s="139">
        <v>1</v>
      </c>
      <c r="M138" s="123"/>
      <c r="N138" s="141">
        <v>0.4</v>
      </c>
      <c r="O138" s="141">
        <v>0.6</v>
      </c>
      <c r="P138" s="124"/>
    </row>
    <row r="139" spans="1:16" ht="11.25" customHeight="1" x14ac:dyDescent="0.25">
      <c r="A139" s="112" t="s">
        <v>289</v>
      </c>
      <c r="B139" s="113" t="s">
        <v>290</v>
      </c>
      <c r="C139" s="114" t="s">
        <v>291</v>
      </c>
      <c r="D139" s="136" t="s">
        <v>292</v>
      </c>
      <c r="E139" s="114">
        <v>18</v>
      </c>
      <c r="F139" s="114">
        <v>0</v>
      </c>
      <c r="G139" s="114">
        <v>6</v>
      </c>
      <c r="H139" s="114">
        <v>0</v>
      </c>
      <c r="I139" s="114">
        <v>24</v>
      </c>
      <c r="J139" s="114">
        <v>26</v>
      </c>
      <c r="K139" s="114">
        <v>50</v>
      </c>
      <c r="L139" s="114">
        <v>2</v>
      </c>
      <c r="M139" s="115">
        <v>5</v>
      </c>
      <c r="N139" s="137">
        <v>0.4</v>
      </c>
      <c r="O139" s="137">
        <v>0.6</v>
      </c>
      <c r="P139" s="116" t="s">
        <v>293</v>
      </c>
    </row>
    <row r="140" spans="1:16" ht="11.25" customHeight="1" x14ac:dyDescent="0.25">
      <c r="A140" s="117"/>
      <c r="B140" s="125" t="s">
        <v>294</v>
      </c>
      <c r="C140" s="130" t="s">
        <v>295</v>
      </c>
      <c r="D140" s="131" t="s">
        <v>296</v>
      </c>
      <c r="E140" s="130">
        <v>16</v>
      </c>
      <c r="F140" s="130">
        <v>0</v>
      </c>
      <c r="G140" s="130">
        <v>8</v>
      </c>
      <c r="H140" s="130">
        <v>0</v>
      </c>
      <c r="I140" s="130">
        <v>24</v>
      </c>
      <c r="J140" s="130">
        <v>26</v>
      </c>
      <c r="K140" s="130">
        <v>50</v>
      </c>
      <c r="L140" s="130">
        <v>2</v>
      </c>
      <c r="M140" s="119"/>
      <c r="N140" s="132">
        <v>0.4</v>
      </c>
      <c r="O140" s="132">
        <v>0.6</v>
      </c>
      <c r="P140" s="120" t="s">
        <v>297</v>
      </c>
    </row>
    <row r="141" spans="1:16" ht="20.25" customHeight="1" thickBot="1" x14ac:dyDescent="0.3">
      <c r="A141" s="117"/>
      <c r="B141" s="125"/>
      <c r="C141" s="133" t="s">
        <v>298</v>
      </c>
      <c r="D141" s="134" t="s">
        <v>299</v>
      </c>
      <c r="E141" s="133">
        <v>12</v>
      </c>
      <c r="F141" s="133">
        <v>0</v>
      </c>
      <c r="G141" s="133">
        <v>0</v>
      </c>
      <c r="H141" s="133">
        <v>0</v>
      </c>
      <c r="I141" s="133">
        <v>12</v>
      </c>
      <c r="J141" s="133">
        <v>13</v>
      </c>
      <c r="K141" s="133">
        <v>25</v>
      </c>
      <c r="L141" s="133">
        <v>1</v>
      </c>
      <c r="M141" s="119"/>
      <c r="N141" s="135">
        <v>0.4</v>
      </c>
      <c r="O141" s="135">
        <v>0.6</v>
      </c>
      <c r="P141" s="120"/>
    </row>
    <row r="142" spans="1:16" ht="21" customHeight="1" x14ac:dyDescent="0.25">
      <c r="A142" s="112" t="s">
        <v>300</v>
      </c>
      <c r="B142" s="142" t="s">
        <v>301</v>
      </c>
      <c r="C142" s="114" t="s">
        <v>302</v>
      </c>
      <c r="D142" s="136" t="s">
        <v>303</v>
      </c>
      <c r="E142" s="114">
        <v>8</v>
      </c>
      <c r="F142" s="114">
        <v>0</v>
      </c>
      <c r="G142" s="114">
        <v>4</v>
      </c>
      <c r="H142" s="114">
        <v>0</v>
      </c>
      <c r="I142" s="114">
        <v>12</v>
      </c>
      <c r="J142" s="114">
        <v>13</v>
      </c>
      <c r="K142" s="114">
        <v>25</v>
      </c>
      <c r="L142" s="114">
        <v>1</v>
      </c>
      <c r="M142" s="115">
        <v>5</v>
      </c>
      <c r="N142" s="137">
        <v>0.4</v>
      </c>
      <c r="O142" s="137">
        <v>0.6</v>
      </c>
      <c r="P142" s="116" t="s">
        <v>382</v>
      </c>
    </row>
    <row r="143" spans="1:16" ht="11.25" customHeight="1" x14ac:dyDescent="0.25">
      <c r="A143" s="117"/>
      <c r="B143" s="143"/>
      <c r="C143" s="130" t="s">
        <v>304</v>
      </c>
      <c r="D143" s="131" t="s">
        <v>305</v>
      </c>
      <c r="E143" s="130">
        <v>10</v>
      </c>
      <c r="F143" s="130">
        <v>0</v>
      </c>
      <c r="G143" s="130">
        <v>14</v>
      </c>
      <c r="H143" s="130">
        <v>0</v>
      </c>
      <c r="I143" s="130">
        <v>24</v>
      </c>
      <c r="J143" s="130">
        <v>26</v>
      </c>
      <c r="K143" s="130">
        <v>50</v>
      </c>
      <c r="L143" s="130">
        <v>2</v>
      </c>
      <c r="M143" s="119"/>
      <c r="N143" s="132">
        <v>0.4</v>
      </c>
      <c r="O143" s="132">
        <v>0.6</v>
      </c>
      <c r="P143" s="219"/>
    </row>
    <row r="144" spans="1:16" ht="24.75" thickBot="1" x14ac:dyDescent="0.3">
      <c r="A144" s="121"/>
      <c r="B144" s="122"/>
      <c r="C144" s="139" t="s">
        <v>306</v>
      </c>
      <c r="D144" s="140" t="s">
        <v>307</v>
      </c>
      <c r="E144" s="139">
        <v>10</v>
      </c>
      <c r="F144" s="139">
        <v>0</v>
      </c>
      <c r="G144" s="139">
        <v>14</v>
      </c>
      <c r="H144" s="139">
        <v>0</v>
      </c>
      <c r="I144" s="139">
        <v>24</v>
      </c>
      <c r="J144" s="139">
        <v>26</v>
      </c>
      <c r="K144" s="139">
        <v>50</v>
      </c>
      <c r="L144" s="139">
        <v>2</v>
      </c>
      <c r="M144" s="123"/>
      <c r="N144" s="141">
        <v>0.4</v>
      </c>
      <c r="O144" s="141">
        <v>0.6</v>
      </c>
      <c r="P144" s="124"/>
    </row>
    <row r="145" spans="1:16" ht="12.75" customHeight="1" thickBot="1" x14ac:dyDescent="0.3">
      <c r="A145" s="26" t="s">
        <v>62</v>
      </c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</row>
    <row r="146" spans="1:16" x14ac:dyDescent="0.25">
      <c r="A146" s="144" t="s">
        <v>308</v>
      </c>
      <c r="B146" s="145" t="s">
        <v>309</v>
      </c>
      <c r="C146" s="114" t="s">
        <v>310</v>
      </c>
      <c r="D146" s="146" t="s">
        <v>311</v>
      </c>
      <c r="E146" s="114">
        <v>4</v>
      </c>
      <c r="F146" s="114">
        <v>8</v>
      </c>
      <c r="G146" s="114">
        <v>0</v>
      </c>
      <c r="H146" s="114">
        <v>0</v>
      </c>
      <c r="I146" s="114">
        <v>12</v>
      </c>
      <c r="J146" s="114">
        <v>13</v>
      </c>
      <c r="K146" s="114">
        <v>25</v>
      </c>
      <c r="L146" s="114">
        <v>1</v>
      </c>
      <c r="M146" s="115">
        <v>3</v>
      </c>
      <c r="N146" s="137">
        <v>0.4</v>
      </c>
      <c r="O146" s="137">
        <v>0.6</v>
      </c>
      <c r="P146" s="147" t="s">
        <v>312</v>
      </c>
    </row>
    <row r="147" spans="1:16" ht="24.75" thickBot="1" x14ac:dyDescent="0.3">
      <c r="A147" s="148"/>
      <c r="B147" s="118"/>
      <c r="C147" s="149" t="s">
        <v>310</v>
      </c>
      <c r="D147" s="134" t="s">
        <v>313</v>
      </c>
      <c r="E147" s="133">
        <v>8</v>
      </c>
      <c r="F147" s="133">
        <v>16</v>
      </c>
      <c r="G147" s="133">
        <v>0</v>
      </c>
      <c r="H147" s="133">
        <v>0</v>
      </c>
      <c r="I147" s="133">
        <v>24</v>
      </c>
      <c r="J147" s="133">
        <v>26</v>
      </c>
      <c r="K147" s="133">
        <v>50</v>
      </c>
      <c r="L147" s="133">
        <v>2</v>
      </c>
      <c r="M147" s="119"/>
      <c r="N147" s="135">
        <v>0.4</v>
      </c>
      <c r="O147" s="135">
        <v>0.6</v>
      </c>
      <c r="P147" s="150"/>
    </row>
    <row r="148" spans="1:16" ht="18" customHeight="1" thickBot="1" x14ac:dyDescent="0.3">
      <c r="A148" s="151" t="s">
        <v>314</v>
      </c>
      <c r="B148" s="152" t="s">
        <v>315</v>
      </c>
      <c r="C148" s="153" t="s">
        <v>314</v>
      </c>
      <c r="D148" s="152" t="s">
        <v>315</v>
      </c>
      <c r="E148" s="153">
        <v>24</v>
      </c>
      <c r="F148" s="153">
        <v>0</v>
      </c>
      <c r="G148" s="153">
        <v>0</v>
      </c>
      <c r="H148" s="153">
        <v>0</v>
      </c>
      <c r="I148" s="153">
        <v>24</v>
      </c>
      <c r="J148" s="153">
        <v>26</v>
      </c>
      <c r="K148" s="153">
        <v>50</v>
      </c>
      <c r="L148" s="153">
        <v>2</v>
      </c>
      <c r="M148" s="153">
        <v>2</v>
      </c>
      <c r="N148" s="154">
        <v>0.4</v>
      </c>
      <c r="O148" s="154">
        <v>0.6</v>
      </c>
      <c r="P148" s="155" t="s">
        <v>239</v>
      </c>
    </row>
    <row r="149" spans="1:16" ht="15.75" thickBot="1" x14ac:dyDescent="0.3">
      <c r="A149" s="156" t="s">
        <v>316</v>
      </c>
      <c r="B149" s="138" t="s">
        <v>317</v>
      </c>
      <c r="C149" s="157" t="s">
        <v>316</v>
      </c>
      <c r="D149" s="138" t="s">
        <v>317</v>
      </c>
      <c r="E149" s="157">
        <v>0</v>
      </c>
      <c r="F149" s="157">
        <v>24</v>
      </c>
      <c r="G149" s="157">
        <v>0</v>
      </c>
      <c r="H149" s="157">
        <v>0</v>
      </c>
      <c r="I149" s="157">
        <v>24</v>
      </c>
      <c r="J149" s="157">
        <v>26</v>
      </c>
      <c r="K149" s="157">
        <v>50</v>
      </c>
      <c r="L149" s="157">
        <v>2</v>
      </c>
      <c r="M149" s="157">
        <v>2</v>
      </c>
      <c r="N149" s="158">
        <v>0.4</v>
      </c>
      <c r="O149" s="158">
        <v>0.6</v>
      </c>
      <c r="P149" s="124" t="s">
        <v>318</v>
      </c>
    </row>
    <row r="150" spans="1:16" ht="12.75" customHeight="1" thickBot="1" x14ac:dyDescent="0.3">
      <c r="A150" s="159" t="s">
        <v>319</v>
      </c>
      <c r="B150" s="159"/>
      <c r="C150" s="159"/>
      <c r="D150" s="160"/>
      <c r="E150" s="161">
        <f>E131+E132+E133+E134+E135+E136+E137+E138+E139+E140+E141+E142+E143+E144+E146+E147+E148+E149</f>
        <v>210</v>
      </c>
      <c r="F150" s="161">
        <f>F131+F132+F133+F134+F135+F136+F137+F138+F139+F140+F141+F142+F143+F144+F146+F147+F148+F149</f>
        <v>56</v>
      </c>
      <c r="G150" s="161">
        <f>G131+G132+G133+G134+G135+G136+G137+G138+G139+G140+G141+G142+G143+G144+G146+G147+G148+G149</f>
        <v>78</v>
      </c>
      <c r="H150" s="161">
        <f>H131+H132+H133+H134+H135+H136+H137+H138+H139+H140+H141+H142+H143+H144+H146+H147+H148+H149</f>
        <v>16</v>
      </c>
      <c r="I150" s="161">
        <f>I131+I132+I133+I134+I135+I136+I137+I138+I139+I140+I141+I142+I143+I144+I146+I147+I148+I149</f>
        <v>360</v>
      </c>
      <c r="J150" s="161">
        <f>J131+J132+J133+J134+J135+J136+J137+J138+J139+J140+J141+J142+J143+J144+J146+J147+J148+J149</f>
        <v>390</v>
      </c>
      <c r="K150" s="161">
        <f>K131+K132+K133+K134+K135+K136+K137+K138+K139+K140+K141+K142+K143+K144+K146+K147+K148+K149</f>
        <v>750</v>
      </c>
      <c r="L150" s="161">
        <f>L131+L132+L133+L134+L135+L136+L137+L138+L139+L140+L141+L142+L143+L144+L146+L147+L148+L149</f>
        <v>30</v>
      </c>
      <c r="M150" s="161">
        <f>M131+M133+M136+M139+M142+M146+M148+M149</f>
        <v>30</v>
      </c>
      <c r="N150" s="161"/>
      <c r="O150" s="161"/>
      <c r="P150" s="161"/>
    </row>
    <row r="151" spans="1:16" ht="15.75" thickBot="1" x14ac:dyDescent="0.3">
      <c r="A151" s="162"/>
      <c r="B151" s="162" t="s">
        <v>320</v>
      </c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</row>
    <row r="152" spans="1:16" x14ac:dyDescent="0.25">
      <c r="A152" s="163" t="s">
        <v>248</v>
      </c>
      <c r="B152" s="164"/>
      <c r="C152" s="164"/>
      <c r="D152" s="165"/>
      <c r="E152" s="100" t="s">
        <v>249</v>
      </c>
      <c r="F152" s="100"/>
      <c r="G152" s="100"/>
      <c r="H152" s="100"/>
      <c r="I152" s="100"/>
      <c r="J152" s="100"/>
      <c r="K152" s="100"/>
      <c r="L152" s="101" t="s">
        <v>250</v>
      </c>
      <c r="M152" s="102" t="s">
        <v>251</v>
      </c>
      <c r="N152" s="103" t="s">
        <v>11</v>
      </c>
      <c r="O152" s="103"/>
      <c r="P152" s="166" t="s">
        <v>12</v>
      </c>
    </row>
    <row r="153" spans="1:16" ht="15.75" thickBot="1" x14ac:dyDescent="0.3">
      <c r="A153" s="167" t="s">
        <v>252</v>
      </c>
      <c r="B153" s="105" t="s">
        <v>253</v>
      </c>
      <c r="C153" s="106" t="s">
        <v>254</v>
      </c>
      <c r="D153" s="107" t="s">
        <v>16</v>
      </c>
      <c r="E153" s="107" t="s">
        <v>255</v>
      </c>
      <c r="F153" s="107" t="s">
        <v>18</v>
      </c>
      <c r="G153" s="107" t="s">
        <v>19</v>
      </c>
      <c r="H153" s="107" t="s">
        <v>20</v>
      </c>
      <c r="I153" s="108" t="s">
        <v>21</v>
      </c>
      <c r="J153" s="107" t="s">
        <v>22</v>
      </c>
      <c r="K153" s="107" t="s">
        <v>23</v>
      </c>
      <c r="L153" s="109"/>
      <c r="M153" s="110"/>
      <c r="N153" s="111" t="s">
        <v>24</v>
      </c>
      <c r="O153" s="111" t="s">
        <v>25</v>
      </c>
      <c r="P153" s="168"/>
    </row>
    <row r="154" spans="1:16" ht="10.5" customHeight="1" thickBot="1" x14ac:dyDescent="0.3">
      <c r="A154" s="14" t="s">
        <v>26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</row>
    <row r="155" spans="1:16" ht="25.5" customHeight="1" x14ac:dyDescent="0.25">
      <c r="A155" s="169" t="s">
        <v>321</v>
      </c>
      <c r="B155" s="170" t="s">
        <v>322</v>
      </c>
      <c r="C155" s="171" t="s">
        <v>323</v>
      </c>
      <c r="D155" s="172" t="s">
        <v>324</v>
      </c>
      <c r="E155" s="171">
        <v>12</v>
      </c>
      <c r="F155" s="171">
        <v>12</v>
      </c>
      <c r="G155" s="171">
        <v>0</v>
      </c>
      <c r="H155" s="171">
        <v>0</v>
      </c>
      <c r="I155" s="171">
        <v>24</v>
      </c>
      <c r="J155" s="171">
        <v>26</v>
      </c>
      <c r="K155" s="171">
        <v>50</v>
      </c>
      <c r="L155" s="171">
        <v>2</v>
      </c>
      <c r="M155" s="173">
        <v>5</v>
      </c>
      <c r="N155" s="137">
        <v>0.4</v>
      </c>
      <c r="O155" s="137">
        <v>0.6</v>
      </c>
      <c r="P155" s="174"/>
    </row>
    <row r="156" spans="1:16" ht="24" x14ac:dyDescent="0.25">
      <c r="A156" s="175"/>
      <c r="B156" s="176"/>
      <c r="C156" s="177" t="s">
        <v>325</v>
      </c>
      <c r="D156" s="178" t="s">
        <v>326</v>
      </c>
      <c r="E156" s="177">
        <v>12</v>
      </c>
      <c r="F156" s="177">
        <v>12</v>
      </c>
      <c r="G156" s="177">
        <v>0</v>
      </c>
      <c r="H156" s="177">
        <v>0</v>
      </c>
      <c r="I156" s="177">
        <v>24</v>
      </c>
      <c r="J156" s="177">
        <v>26</v>
      </c>
      <c r="K156" s="177">
        <v>50</v>
      </c>
      <c r="L156" s="177">
        <v>2</v>
      </c>
      <c r="M156" s="179"/>
      <c r="N156" s="180">
        <v>0.4</v>
      </c>
      <c r="O156" s="180">
        <v>0.6</v>
      </c>
      <c r="P156" s="181" t="s">
        <v>327</v>
      </c>
    </row>
    <row r="157" spans="1:16" ht="24.75" thickBot="1" x14ac:dyDescent="0.3">
      <c r="A157" s="182"/>
      <c r="B157" s="183"/>
      <c r="C157" s="184" t="s">
        <v>328</v>
      </c>
      <c r="D157" s="185" t="s">
        <v>329</v>
      </c>
      <c r="E157" s="184">
        <v>8</v>
      </c>
      <c r="F157" s="184">
        <v>4</v>
      </c>
      <c r="G157" s="184">
        <v>0</v>
      </c>
      <c r="H157" s="184">
        <v>0</v>
      </c>
      <c r="I157" s="184">
        <v>12</v>
      </c>
      <c r="J157" s="184">
        <v>13</v>
      </c>
      <c r="K157" s="184">
        <v>25</v>
      </c>
      <c r="L157" s="184">
        <v>1</v>
      </c>
      <c r="M157" s="186"/>
      <c r="N157" s="180">
        <v>0.4</v>
      </c>
      <c r="O157" s="180">
        <v>0.6</v>
      </c>
      <c r="P157" s="187"/>
    </row>
    <row r="158" spans="1:16" x14ac:dyDescent="0.25">
      <c r="A158" s="169" t="s">
        <v>330</v>
      </c>
      <c r="B158" s="188" t="s">
        <v>331</v>
      </c>
      <c r="C158" s="171" t="s">
        <v>332</v>
      </c>
      <c r="D158" s="172" t="s">
        <v>333</v>
      </c>
      <c r="E158" s="171">
        <v>8</v>
      </c>
      <c r="F158" s="171">
        <v>0</v>
      </c>
      <c r="G158" s="171">
        <v>4</v>
      </c>
      <c r="H158" s="171">
        <v>0</v>
      </c>
      <c r="I158" s="171">
        <v>12</v>
      </c>
      <c r="J158" s="171">
        <v>13</v>
      </c>
      <c r="K158" s="171">
        <v>25</v>
      </c>
      <c r="L158" s="171">
        <v>1</v>
      </c>
      <c r="M158" s="173">
        <v>5</v>
      </c>
      <c r="N158" s="180">
        <v>0.4</v>
      </c>
      <c r="O158" s="180">
        <v>0.6</v>
      </c>
      <c r="P158" s="174"/>
    </row>
    <row r="159" spans="1:16" ht="24" x14ac:dyDescent="0.25">
      <c r="A159" s="175"/>
      <c r="B159" s="189"/>
      <c r="C159" s="177" t="s">
        <v>334</v>
      </c>
      <c r="D159" s="178" t="s">
        <v>335</v>
      </c>
      <c r="E159" s="177">
        <v>14</v>
      </c>
      <c r="F159" s="177">
        <v>0</v>
      </c>
      <c r="G159" s="177">
        <v>10</v>
      </c>
      <c r="H159" s="177">
        <v>0</v>
      </c>
      <c r="I159" s="177">
        <v>24</v>
      </c>
      <c r="J159" s="177">
        <v>26</v>
      </c>
      <c r="K159" s="177">
        <v>50</v>
      </c>
      <c r="L159" s="177">
        <v>2</v>
      </c>
      <c r="M159" s="179"/>
      <c r="N159" s="180">
        <v>0.4</v>
      </c>
      <c r="O159" s="180">
        <v>0.6</v>
      </c>
      <c r="P159" s="181" t="s">
        <v>336</v>
      </c>
    </row>
    <row r="160" spans="1:16" ht="36.75" thickBot="1" x14ac:dyDescent="0.3">
      <c r="A160" s="175"/>
      <c r="B160" s="189"/>
      <c r="C160" s="190" t="s">
        <v>337</v>
      </c>
      <c r="D160" s="191" t="s">
        <v>338</v>
      </c>
      <c r="E160" s="190">
        <v>14</v>
      </c>
      <c r="F160" s="190">
        <v>0</v>
      </c>
      <c r="G160" s="190">
        <v>10</v>
      </c>
      <c r="H160" s="190">
        <v>0</v>
      </c>
      <c r="I160" s="190">
        <v>24</v>
      </c>
      <c r="J160" s="190">
        <v>26</v>
      </c>
      <c r="K160" s="190">
        <v>50</v>
      </c>
      <c r="L160" s="190">
        <v>2</v>
      </c>
      <c r="M160" s="179"/>
      <c r="N160" s="180">
        <v>0.4</v>
      </c>
      <c r="O160" s="180">
        <v>0.6</v>
      </c>
      <c r="P160" s="192"/>
    </row>
    <row r="161" spans="1:16" ht="23.25" customHeight="1" x14ac:dyDescent="0.25">
      <c r="A161" s="169" t="s">
        <v>339</v>
      </c>
      <c r="B161" s="188" t="s">
        <v>340</v>
      </c>
      <c r="C161" s="171" t="s">
        <v>341</v>
      </c>
      <c r="D161" s="172" t="s">
        <v>342</v>
      </c>
      <c r="E161" s="171">
        <v>16</v>
      </c>
      <c r="F161" s="171">
        <v>8</v>
      </c>
      <c r="G161" s="171">
        <v>0</v>
      </c>
      <c r="H161" s="171">
        <v>0</v>
      </c>
      <c r="I161" s="171">
        <v>24</v>
      </c>
      <c r="J161" s="171">
        <v>26</v>
      </c>
      <c r="K161" s="171">
        <v>50</v>
      </c>
      <c r="L161" s="171">
        <v>2</v>
      </c>
      <c r="M161" s="173">
        <v>4</v>
      </c>
      <c r="N161" s="180">
        <v>0.4</v>
      </c>
      <c r="O161" s="180">
        <v>0.6</v>
      </c>
      <c r="P161" s="193" t="s">
        <v>343</v>
      </c>
    </row>
    <row r="162" spans="1:16" ht="24" x14ac:dyDescent="0.25">
      <c r="A162" s="175"/>
      <c r="B162" s="189"/>
      <c r="C162" s="177" t="s">
        <v>344</v>
      </c>
      <c r="D162" s="178" t="s">
        <v>345</v>
      </c>
      <c r="E162" s="177">
        <v>12</v>
      </c>
      <c r="F162" s="177">
        <v>0</v>
      </c>
      <c r="G162" s="177">
        <v>0</v>
      </c>
      <c r="H162" s="177">
        <v>0</v>
      </c>
      <c r="I162" s="177">
        <v>12</v>
      </c>
      <c r="J162" s="177">
        <v>13</v>
      </c>
      <c r="K162" s="177">
        <v>25</v>
      </c>
      <c r="L162" s="177">
        <v>1</v>
      </c>
      <c r="M162" s="179"/>
      <c r="N162" s="180">
        <v>0.4</v>
      </c>
      <c r="O162" s="180">
        <v>0.6</v>
      </c>
      <c r="P162" s="181" t="s">
        <v>346</v>
      </c>
    </row>
    <row r="163" spans="1:16" ht="15.75" thickBot="1" x14ac:dyDescent="0.3">
      <c r="A163" s="175"/>
      <c r="B163" s="189"/>
      <c r="C163" s="190" t="s">
        <v>347</v>
      </c>
      <c r="D163" s="191" t="s">
        <v>348</v>
      </c>
      <c r="E163" s="190">
        <v>12</v>
      </c>
      <c r="F163" s="190">
        <v>0</v>
      </c>
      <c r="G163" s="190">
        <v>0</v>
      </c>
      <c r="H163" s="190">
        <v>0</v>
      </c>
      <c r="I163" s="190">
        <v>12</v>
      </c>
      <c r="J163" s="190">
        <v>13</v>
      </c>
      <c r="K163" s="190">
        <v>25</v>
      </c>
      <c r="L163" s="190">
        <v>1</v>
      </c>
      <c r="M163" s="179"/>
      <c r="N163" s="180">
        <v>0.4</v>
      </c>
      <c r="O163" s="180">
        <v>0.6</v>
      </c>
      <c r="P163" s="181"/>
    </row>
    <row r="164" spans="1:16" ht="24" x14ac:dyDescent="0.25">
      <c r="A164" s="169" t="s">
        <v>349</v>
      </c>
      <c r="B164" s="170" t="s">
        <v>350</v>
      </c>
      <c r="C164" s="171" t="s">
        <v>351</v>
      </c>
      <c r="D164" s="172" t="s">
        <v>352</v>
      </c>
      <c r="E164" s="171">
        <v>24</v>
      </c>
      <c r="F164" s="171">
        <v>0</v>
      </c>
      <c r="G164" s="171">
        <v>0</v>
      </c>
      <c r="H164" s="171">
        <v>0</v>
      </c>
      <c r="I164" s="171">
        <v>24</v>
      </c>
      <c r="J164" s="171">
        <v>26</v>
      </c>
      <c r="K164" s="171">
        <v>50</v>
      </c>
      <c r="L164" s="171">
        <v>2</v>
      </c>
      <c r="M164" s="173">
        <v>4</v>
      </c>
      <c r="N164" s="180">
        <v>0.4</v>
      </c>
      <c r="O164" s="180">
        <v>0.6</v>
      </c>
      <c r="P164" s="174"/>
    </row>
    <row r="165" spans="1:16" ht="14.25" customHeight="1" x14ac:dyDescent="0.25">
      <c r="A165" s="175"/>
      <c r="B165" s="176"/>
      <c r="C165" s="194" t="s">
        <v>353</v>
      </c>
      <c r="D165" s="195" t="s">
        <v>354</v>
      </c>
      <c r="E165" s="130">
        <v>12</v>
      </c>
      <c r="F165" s="130">
        <v>0</v>
      </c>
      <c r="G165" s="130">
        <v>0</v>
      </c>
      <c r="H165" s="130">
        <v>0</v>
      </c>
      <c r="I165" s="130">
        <v>12</v>
      </c>
      <c r="J165" s="130">
        <v>13</v>
      </c>
      <c r="K165" s="130">
        <v>25</v>
      </c>
      <c r="L165" s="130">
        <v>1</v>
      </c>
      <c r="M165" s="179"/>
      <c r="N165" s="180">
        <v>0.4</v>
      </c>
      <c r="O165" s="180">
        <v>0.6</v>
      </c>
      <c r="P165" s="120" t="s">
        <v>355</v>
      </c>
    </row>
    <row r="166" spans="1:16" ht="24.75" thickBot="1" x14ac:dyDescent="0.3">
      <c r="A166" s="182"/>
      <c r="B166" s="183"/>
      <c r="C166" s="139" t="s">
        <v>353</v>
      </c>
      <c r="D166" s="140" t="s">
        <v>356</v>
      </c>
      <c r="E166" s="139">
        <v>8</v>
      </c>
      <c r="F166" s="139">
        <v>4</v>
      </c>
      <c r="G166" s="139">
        <v>0</v>
      </c>
      <c r="H166" s="139">
        <v>0</v>
      </c>
      <c r="I166" s="139">
        <v>12</v>
      </c>
      <c r="J166" s="139">
        <v>13</v>
      </c>
      <c r="K166" s="139">
        <v>25</v>
      </c>
      <c r="L166" s="139">
        <v>1</v>
      </c>
      <c r="M166" s="186"/>
      <c r="N166" s="180">
        <v>0.4</v>
      </c>
      <c r="O166" s="180">
        <v>0.6</v>
      </c>
      <c r="P166" s="124"/>
    </row>
    <row r="167" spans="1:16" ht="13.5" customHeight="1" thickBot="1" x14ac:dyDescent="0.3">
      <c r="A167" s="26" t="s">
        <v>67</v>
      </c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</row>
    <row r="168" spans="1:16" x14ac:dyDescent="0.25">
      <c r="A168" s="196" t="s">
        <v>357</v>
      </c>
      <c r="B168" s="145" t="s">
        <v>358</v>
      </c>
      <c r="C168" s="114" t="s">
        <v>359</v>
      </c>
      <c r="D168" s="136" t="s">
        <v>360</v>
      </c>
      <c r="E168" s="114">
        <v>8</v>
      </c>
      <c r="F168" s="114">
        <v>0</v>
      </c>
      <c r="G168" s="114">
        <v>0</v>
      </c>
      <c r="H168" s="114">
        <v>16</v>
      </c>
      <c r="I168" s="114">
        <v>24</v>
      </c>
      <c r="J168" s="114">
        <v>26</v>
      </c>
      <c r="K168" s="114">
        <v>50</v>
      </c>
      <c r="L168" s="114">
        <v>2</v>
      </c>
      <c r="M168" s="115">
        <v>3</v>
      </c>
      <c r="N168" s="137">
        <v>0.4</v>
      </c>
      <c r="O168" s="137">
        <v>0.6</v>
      </c>
      <c r="P168" s="147" t="s">
        <v>361</v>
      </c>
    </row>
    <row r="169" spans="1:16" ht="12.75" customHeight="1" thickBot="1" x14ac:dyDescent="0.3">
      <c r="A169" s="197"/>
      <c r="B169" s="118"/>
      <c r="C169" s="149" t="s">
        <v>362</v>
      </c>
      <c r="D169" s="134" t="s">
        <v>363</v>
      </c>
      <c r="E169" s="133">
        <v>12</v>
      </c>
      <c r="F169" s="133">
        <v>0</v>
      </c>
      <c r="G169" s="133">
        <v>0</v>
      </c>
      <c r="H169" s="133">
        <v>0</v>
      </c>
      <c r="I169" s="133">
        <v>12</v>
      </c>
      <c r="J169" s="133">
        <v>13</v>
      </c>
      <c r="K169" s="133">
        <v>25</v>
      </c>
      <c r="L169" s="133">
        <v>1</v>
      </c>
      <c r="M169" s="119"/>
      <c r="N169" s="135">
        <v>0.4</v>
      </c>
      <c r="O169" s="135">
        <v>0.6</v>
      </c>
      <c r="P169" s="150"/>
    </row>
    <row r="170" spans="1:16" ht="28.5" customHeight="1" x14ac:dyDescent="0.25">
      <c r="A170" s="220" t="s">
        <v>364</v>
      </c>
      <c r="B170" s="221" t="s">
        <v>365</v>
      </c>
      <c r="C170" s="222" t="s">
        <v>366</v>
      </c>
      <c r="D170" s="223" t="s">
        <v>367</v>
      </c>
      <c r="E170" s="114">
        <v>20</v>
      </c>
      <c r="F170" s="114">
        <v>0</v>
      </c>
      <c r="G170" s="114">
        <v>4</v>
      </c>
      <c r="H170" s="114">
        <v>0</v>
      </c>
      <c r="I170" s="114">
        <v>24</v>
      </c>
      <c r="J170" s="114">
        <v>26</v>
      </c>
      <c r="K170" s="114">
        <v>50</v>
      </c>
      <c r="L170" s="114">
        <v>2</v>
      </c>
      <c r="M170" s="115">
        <v>3</v>
      </c>
      <c r="N170" s="137">
        <v>0.4</v>
      </c>
      <c r="O170" s="137">
        <v>0.6</v>
      </c>
      <c r="P170" s="198" t="s">
        <v>368</v>
      </c>
    </row>
    <row r="171" spans="1:16" ht="28.5" customHeight="1" thickBot="1" x14ac:dyDescent="0.3">
      <c r="A171" s="224"/>
      <c r="B171" s="225"/>
      <c r="C171" s="226" t="s">
        <v>366</v>
      </c>
      <c r="D171" s="227" t="s">
        <v>369</v>
      </c>
      <c r="E171" s="139">
        <v>12</v>
      </c>
      <c r="F171" s="139">
        <v>0</v>
      </c>
      <c r="G171" s="139">
        <v>0</v>
      </c>
      <c r="H171" s="139">
        <v>0</v>
      </c>
      <c r="I171" s="139">
        <v>12</v>
      </c>
      <c r="J171" s="139">
        <v>13</v>
      </c>
      <c r="K171" s="139">
        <v>25</v>
      </c>
      <c r="L171" s="139">
        <v>1</v>
      </c>
      <c r="M171" s="123"/>
      <c r="N171" s="141">
        <v>0.4</v>
      </c>
      <c r="O171" s="141">
        <v>0.6</v>
      </c>
      <c r="P171" s="199"/>
    </row>
    <row r="172" spans="1:16" ht="12.75" customHeight="1" x14ac:dyDescent="0.25">
      <c r="A172" s="144" t="s">
        <v>370</v>
      </c>
      <c r="B172" s="145" t="s">
        <v>371</v>
      </c>
      <c r="C172" s="200" t="s">
        <v>372</v>
      </c>
      <c r="D172" s="136" t="s">
        <v>373</v>
      </c>
      <c r="E172" s="114">
        <v>12</v>
      </c>
      <c r="F172" s="114">
        <v>0</v>
      </c>
      <c r="G172" s="114">
        <v>0</v>
      </c>
      <c r="H172" s="114">
        <v>0</v>
      </c>
      <c r="I172" s="114">
        <v>12</v>
      </c>
      <c r="J172" s="114">
        <v>13</v>
      </c>
      <c r="K172" s="114">
        <v>25</v>
      </c>
      <c r="L172" s="114">
        <v>1</v>
      </c>
      <c r="M172" s="115">
        <v>2</v>
      </c>
      <c r="N172" s="201">
        <v>0.4</v>
      </c>
      <c r="O172" s="137">
        <v>0.6</v>
      </c>
      <c r="P172" s="147" t="s">
        <v>374</v>
      </c>
    </row>
    <row r="173" spans="1:16" ht="10.5" customHeight="1" thickBot="1" x14ac:dyDescent="0.3">
      <c r="A173" s="202"/>
      <c r="B173" s="203"/>
      <c r="C173" s="139" t="s">
        <v>375</v>
      </c>
      <c r="D173" s="140" t="s">
        <v>376</v>
      </c>
      <c r="E173" s="139">
        <v>8</v>
      </c>
      <c r="F173" s="139">
        <v>4</v>
      </c>
      <c r="G173" s="139">
        <v>0</v>
      </c>
      <c r="H173" s="139">
        <v>0</v>
      </c>
      <c r="I173" s="139">
        <v>12</v>
      </c>
      <c r="J173" s="139">
        <v>13</v>
      </c>
      <c r="K173" s="139">
        <v>25</v>
      </c>
      <c r="L173" s="139">
        <v>1</v>
      </c>
      <c r="M173" s="123"/>
      <c r="N173" s="204">
        <v>0.4</v>
      </c>
      <c r="O173" s="141">
        <v>0.6</v>
      </c>
      <c r="P173" s="205"/>
    </row>
    <row r="174" spans="1:16" ht="12" customHeight="1" thickBot="1" x14ac:dyDescent="0.3">
      <c r="A174" s="26" t="s">
        <v>377</v>
      </c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</row>
    <row r="175" spans="1:16" ht="13.5" customHeight="1" thickBot="1" x14ac:dyDescent="0.3">
      <c r="A175" s="206" t="s">
        <v>378</v>
      </c>
      <c r="B175" s="207" t="s">
        <v>379</v>
      </c>
      <c r="C175" s="208" t="s">
        <v>378</v>
      </c>
      <c r="D175" s="207" t="s">
        <v>380</v>
      </c>
      <c r="E175" s="209">
        <v>0</v>
      </c>
      <c r="F175" s="209">
        <v>0</v>
      </c>
      <c r="G175" s="209">
        <v>0</v>
      </c>
      <c r="H175" s="209">
        <v>48</v>
      </c>
      <c r="I175" s="209">
        <v>48</v>
      </c>
      <c r="J175" s="209">
        <v>52</v>
      </c>
      <c r="K175" s="153">
        <v>100</v>
      </c>
      <c r="L175" s="153">
        <v>4</v>
      </c>
      <c r="M175" s="209">
        <v>4</v>
      </c>
      <c r="N175" s="154"/>
      <c r="O175" s="154"/>
      <c r="P175" s="155" t="s">
        <v>383</v>
      </c>
    </row>
    <row r="176" spans="1:16" ht="12" customHeight="1" thickBot="1" x14ac:dyDescent="0.3">
      <c r="A176" s="210" t="s">
        <v>381</v>
      </c>
      <c r="B176" s="159"/>
      <c r="C176" s="159"/>
      <c r="D176" s="160"/>
      <c r="E176" s="161">
        <f t="shared" ref="E176:K176" si="4">E155+E156+E157+E158+E159+E160+E161+E162+E163+E164+E165+E166+E168+E169+E170+E171+E172+E173+E175</f>
        <v>224</v>
      </c>
      <c r="F176" s="161">
        <f t="shared" si="4"/>
        <v>44</v>
      </c>
      <c r="G176" s="161">
        <f t="shared" si="4"/>
        <v>28</v>
      </c>
      <c r="H176" s="161">
        <f t="shared" si="4"/>
        <v>64</v>
      </c>
      <c r="I176" s="161">
        <f t="shared" si="4"/>
        <v>360</v>
      </c>
      <c r="J176" s="161">
        <f t="shared" si="4"/>
        <v>390</v>
      </c>
      <c r="K176" s="161">
        <f t="shared" si="4"/>
        <v>750</v>
      </c>
      <c r="L176" s="161">
        <f>L155+L156+L157+L158+L159+L160+L161+L162+L163+L164+L165+L166+L168+L169+L170+L171+L172+L173+L175</f>
        <v>30</v>
      </c>
      <c r="M176" s="161">
        <f>M155+M158+M161+M164+M168+M170+M171+M172+M175</f>
        <v>30</v>
      </c>
      <c r="N176" s="161"/>
      <c r="O176" s="161"/>
      <c r="P176" s="211"/>
    </row>
    <row r="178" spans="1:16" ht="12.75" customHeight="1" x14ac:dyDescent="0.25">
      <c r="A178" s="228"/>
      <c r="B178" s="229"/>
      <c r="C178" s="230"/>
      <c r="D178" s="229" t="s">
        <v>0</v>
      </c>
      <c r="E178" s="228"/>
      <c r="F178" s="228"/>
      <c r="G178" s="228"/>
      <c r="H178" s="231"/>
      <c r="I178" s="232"/>
      <c r="J178" s="228"/>
      <c r="K178" s="231"/>
      <c r="L178" s="231"/>
      <c r="M178" s="231"/>
      <c r="N178" s="231"/>
      <c r="O178" s="231"/>
      <c r="P178" s="228"/>
    </row>
    <row r="179" spans="1:16" ht="12.75" customHeight="1" x14ac:dyDescent="0.25">
      <c r="A179" s="228"/>
      <c r="B179" s="233"/>
      <c r="C179" s="230"/>
      <c r="D179" s="229" t="s">
        <v>1</v>
      </c>
      <c r="E179" s="228"/>
      <c r="F179" s="228"/>
      <c r="G179" s="228"/>
      <c r="H179" s="231"/>
      <c r="I179" s="232"/>
      <c r="J179" s="228"/>
      <c r="K179" s="231"/>
      <c r="L179" s="231"/>
      <c r="M179" s="231"/>
      <c r="N179" s="231"/>
      <c r="O179" s="231"/>
      <c r="P179" s="228"/>
    </row>
    <row r="180" spans="1:16" ht="10.5" customHeight="1" x14ac:dyDescent="0.25">
      <c r="A180" s="231"/>
      <c r="B180" s="229"/>
      <c r="C180" s="229"/>
      <c r="D180" s="229" t="s">
        <v>244</v>
      </c>
      <c r="E180" s="231"/>
      <c r="F180" s="231"/>
      <c r="G180" s="231"/>
      <c r="H180" s="231"/>
      <c r="I180" s="229"/>
      <c r="J180" s="231"/>
      <c r="K180" s="231"/>
      <c r="L180" s="231"/>
      <c r="M180" s="231"/>
      <c r="N180" s="231"/>
      <c r="O180" s="231"/>
      <c r="P180" s="234"/>
    </row>
    <row r="181" spans="1:16" ht="10.5" customHeight="1" x14ac:dyDescent="0.25">
      <c r="A181" s="231"/>
      <c r="B181" s="229"/>
      <c r="C181" s="229"/>
      <c r="D181" s="229" t="s">
        <v>384</v>
      </c>
      <c r="E181" s="231"/>
      <c r="F181" s="231"/>
      <c r="G181" s="231"/>
      <c r="H181" s="231"/>
      <c r="I181" s="229"/>
      <c r="J181" s="231"/>
      <c r="K181" s="231"/>
      <c r="L181" s="231"/>
      <c r="M181" s="231"/>
      <c r="N181" s="231"/>
      <c r="O181" s="231"/>
      <c r="P181" s="231"/>
    </row>
    <row r="182" spans="1:16" ht="10.5" customHeight="1" x14ac:dyDescent="0.25">
      <c r="A182" s="231"/>
      <c r="B182" s="229"/>
      <c r="C182" s="229"/>
      <c r="D182" s="233" t="s">
        <v>385</v>
      </c>
      <c r="E182" s="231"/>
      <c r="F182" s="231"/>
      <c r="G182" s="231"/>
      <c r="H182" s="231"/>
      <c r="I182" s="229"/>
      <c r="J182" s="231"/>
      <c r="K182" s="231"/>
      <c r="L182" s="231"/>
      <c r="M182" s="231"/>
      <c r="N182" s="231"/>
      <c r="O182" s="231"/>
      <c r="P182" s="231"/>
    </row>
    <row r="183" spans="1:16" ht="10.5" customHeight="1" x14ac:dyDescent="0.25">
      <c r="A183" s="231"/>
      <c r="B183" s="229"/>
      <c r="C183" s="229"/>
      <c r="D183" s="229" t="s">
        <v>386</v>
      </c>
      <c r="E183" s="231"/>
      <c r="F183" s="231"/>
      <c r="G183" s="231"/>
      <c r="H183" s="231"/>
      <c r="I183" s="229"/>
      <c r="J183" s="231"/>
      <c r="K183" s="231"/>
      <c r="L183" s="231"/>
      <c r="M183" s="231"/>
      <c r="N183" s="231"/>
      <c r="O183" s="231"/>
      <c r="P183" s="231"/>
    </row>
    <row r="184" spans="1:16" ht="10.5" customHeight="1" thickBot="1" x14ac:dyDescent="0.3">
      <c r="A184" s="231"/>
      <c r="B184" s="229"/>
      <c r="C184" s="229"/>
      <c r="D184" s="229" t="s">
        <v>387</v>
      </c>
      <c r="E184" s="231"/>
      <c r="F184" s="231"/>
      <c r="G184" s="231"/>
      <c r="H184" s="231"/>
      <c r="I184" s="229"/>
      <c r="J184" s="231"/>
      <c r="K184" s="231"/>
      <c r="L184" s="231"/>
      <c r="M184" s="231"/>
      <c r="N184" s="231"/>
      <c r="O184" s="231"/>
      <c r="P184" s="231"/>
    </row>
    <row r="185" spans="1:16" x14ac:dyDescent="0.25">
      <c r="A185" s="235"/>
      <c r="B185" s="236" t="s">
        <v>248</v>
      </c>
      <c r="C185" s="236"/>
      <c r="D185" s="236"/>
      <c r="E185" s="236" t="s">
        <v>249</v>
      </c>
      <c r="F185" s="236"/>
      <c r="G185" s="236"/>
      <c r="H185" s="236"/>
      <c r="I185" s="236"/>
      <c r="J185" s="236"/>
      <c r="K185" s="236"/>
      <c r="L185" s="236" t="s">
        <v>250</v>
      </c>
      <c r="M185" s="237" t="s">
        <v>251</v>
      </c>
      <c r="N185" s="237" t="s">
        <v>11</v>
      </c>
      <c r="O185" s="237"/>
      <c r="P185" s="238" t="s">
        <v>12</v>
      </c>
    </row>
    <row r="186" spans="1:16" ht="24" x14ac:dyDescent="0.25">
      <c r="A186" s="239" t="s">
        <v>252</v>
      </c>
      <c r="B186" s="240" t="s">
        <v>253</v>
      </c>
      <c r="C186" s="241" t="s">
        <v>254</v>
      </c>
      <c r="D186" s="242" t="s">
        <v>16</v>
      </c>
      <c r="E186" s="242" t="s">
        <v>255</v>
      </c>
      <c r="F186" s="242" t="s">
        <v>18</v>
      </c>
      <c r="G186" s="242" t="s">
        <v>19</v>
      </c>
      <c r="H186" s="242" t="s">
        <v>20</v>
      </c>
      <c r="I186" s="243" t="s">
        <v>21</v>
      </c>
      <c r="J186" s="242" t="s">
        <v>22</v>
      </c>
      <c r="K186" s="242" t="s">
        <v>23</v>
      </c>
      <c r="L186" s="244"/>
      <c r="M186" s="245"/>
      <c r="N186" s="242" t="s">
        <v>24</v>
      </c>
      <c r="O186" s="242" t="s">
        <v>25</v>
      </c>
      <c r="P186" s="246"/>
    </row>
    <row r="187" spans="1:16" ht="12" customHeight="1" x14ac:dyDescent="0.25">
      <c r="A187" s="247" t="s">
        <v>26</v>
      </c>
      <c r="B187" s="248"/>
      <c r="C187" s="248"/>
      <c r="D187" s="248"/>
      <c r="E187" s="248"/>
      <c r="F187" s="248"/>
      <c r="G187" s="248"/>
      <c r="H187" s="248"/>
      <c r="I187" s="248"/>
      <c r="J187" s="248"/>
      <c r="K187" s="248"/>
      <c r="L187" s="248"/>
      <c r="M187" s="248"/>
      <c r="N187" s="248"/>
      <c r="O187" s="248"/>
      <c r="P187" s="249"/>
    </row>
    <row r="188" spans="1:16" ht="15" customHeight="1" x14ac:dyDescent="0.25">
      <c r="A188" s="250" t="s">
        <v>388</v>
      </c>
      <c r="B188" s="251" t="s">
        <v>389</v>
      </c>
      <c r="C188" s="252" t="s">
        <v>390</v>
      </c>
      <c r="D188" s="253" t="s">
        <v>391</v>
      </c>
      <c r="E188" s="252">
        <v>32</v>
      </c>
      <c r="F188" s="252">
        <v>0</v>
      </c>
      <c r="G188" s="252">
        <v>0</v>
      </c>
      <c r="H188" s="252">
        <v>4</v>
      </c>
      <c r="I188" s="252">
        <v>36</v>
      </c>
      <c r="J188" s="252">
        <v>39</v>
      </c>
      <c r="K188" s="252">
        <v>75</v>
      </c>
      <c r="L188" s="252">
        <v>3</v>
      </c>
      <c r="M188" s="254">
        <v>5</v>
      </c>
      <c r="N188" s="255">
        <v>0.4</v>
      </c>
      <c r="O188" s="255">
        <v>0.6</v>
      </c>
      <c r="P188" s="256" t="s">
        <v>392</v>
      </c>
    </row>
    <row r="189" spans="1:16" ht="15.75" customHeight="1" x14ac:dyDescent="0.25">
      <c r="A189" s="250"/>
      <c r="B189" s="254"/>
      <c r="C189" s="252" t="s">
        <v>393</v>
      </c>
      <c r="D189" s="252" t="s">
        <v>394</v>
      </c>
      <c r="E189" s="252">
        <v>20</v>
      </c>
      <c r="F189" s="252">
        <v>0</v>
      </c>
      <c r="G189" s="252">
        <v>0</v>
      </c>
      <c r="H189" s="252">
        <v>4</v>
      </c>
      <c r="I189" s="252">
        <v>24</v>
      </c>
      <c r="J189" s="252">
        <v>26</v>
      </c>
      <c r="K189" s="252">
        <v>50</v>
      </c>
      <c r="L189" s="252">
        <v>2</v>
      </c>
      <c r="M189" s="254"/>
      <c r="N189" s="255">
        <v>0.4</v>
      </c>
      <c r="O189" s="255">
        <v>0.6</v>
      </c>
      <c r="P189" s="257" t="s">
        <v>395</v>
      </c>
    </row>
    <row r="190" spans="1:16" ht="15.75" customHeight="1" x14ac:dyDescent="0.25">
      <c r="A190" s="250" t="s">
        <v>396</v>
      </c>
      <c r="B190" s="251" t="s">
        <v>397</v>
      </c>
      <c r="C190" s="252" t="s">
        <v>398</v>
      </c>
      <c r="D190" s="252" t="s">
        <v>399</v>
      </c>
      <c r="E190" s="252">
        <v>8</v>
      </c>
      <c r="F190" s="252">
        <v>0</v>
      </c>
      <c r="G190" s="252">
        <v>4</v>
      </c>
      <c r="H190" s="252">
        <v>0</v>
      </c>
      <c r="I190" s="252">
        <v>12</v>
      </c>
      <c r="J190" s="252">
        <v>13</v>
      </c>
      <c r="K190" s="252">
        <v>25</v>
      </c>
      <c r="L190" s="252">
        <v>1</v>
      </c>
      <c r="M190" s="254">
        <v>4</v>
      </c>
      <c r="N190" s="255">
        <v>0.4</v>
      </c>
      <c r="O190" s="255">
        <v>0.6</v>
      </c>
      <c r="P190" s="257" t="s">
        <v>400</v>
      </c>
    </row>
    <row r="191" spans="1:16" ht="18" customHeight="1" x14ac:dyDescent="0.25">
      <c r="A191" s="250"/>
      <c r="B191" s="251"/>
      <c r="C191" s="252" t="s">
        <v>401</v>
      </c>
      <c r="D191" s="252" t="s">
        <v>402</v>
      </c>
      <c r="E191" s="252">
        <v>4</v>
      </c>
      <c r="F191" s="252">
        <v>0</v>
      </c>
      <c r="G191" s="252">
        <v>8</v>
      </c>
      <c r="H191" s="252">
        <v>0</v>
      </c>
      <c r="I191" s="252">
        <v>12</v>
      </c>
      <c r="J191" s="252">
        <v>13</v>
      </c>
      <c r="K191" s="252">
        <v>25</v>
      </c>
      <c r="L191" s="252">
        <v>1</v>
      </c>
      <c r="M191" s="254"/>
      <c r="N191" s="255">
        <v>0.4</v>
      </c>
      <c r="O191" s="255">
        <v>0.6</v>
      </c>
      <c r="P191" s="257" t="s">
        <v>403</v>
      </c>
    </row>
    <row r="192" spans="1:16" ht="15.75" customHeight="1" x14ac:dyDescent="0.25">
      <c r="A192" s="250"/>
      <c r="B192" s="251"/>
      <c r="C192" s="252" t="s">
        <v>404</v>
      </c>
      <c r="D192" s="252" t="s">
        <v>405</v>
      </c>
      <c r="E192" s="252">
        <v>20</v>
      </c>
      <c r="F192" s="252">
        <v>0</v>
      </c>
      <c r="G192" s="252">
        <v>0</v>
      </c>
      <c r="H192" s="252">
        <v>4</v>
      </c>
      <c r="I192" s="252">
        <v>24</v>
      </c>
      <c r="J192" s="252">
        <v>26</v>
      </c>
      <c r="K192" s="252">
        <v>50</v>
      </c>
      <c r="L192" s="252">
        <v>2</v>
      </c>
      <c r="M192" s="254"/>
      <c r="N192" s="255">
        <v>0.4</v>
      </c>
      <c r="O192" s="255">
        <v>0.6</v>
      </c>
      <c r="P192" s="257" t="s">
        <v>395</v>
      </c>
    </row>
    <row r="193" spans="1:16" x14ac:dyDescent="0.25">
      <c r="A193" s="247" t="s">
        <v>406</v>
      </c>
      <c r="B193" s="248"/>
      <c r="C193" s="248"/>
      <c r="D193" s="248"/>
      <c r="E193" s="248"/>
      <c r="F193" s="248"/>
      <c r="G193" s="248"/>
      <c r="H193" s="248"/>
      <c r="I193" s="248"/>
      <c r="J193" s="248"/>
      <c r="K193" s="248"/>
      <c r="L193" s="248"/>
      <c r="M193" s="248"/>
      <c r="N193" s="248"/>
      <c r="O193" s="248"/>
      <c r="P193" s="249"/>
    </row>
    <row r="194" spans="1:16" ht="24" x14ac:dyDescent="0.25">
      <c r="A194" s="258" t="s">
        <v>407</v>
      </c>
      <c r="B194" s="251" t="s">
        <v>408</v>
      </c>
      <c r="C194" s="252" t="s">
        <v>409</v>
      </c>
      <c r="D194" s="253" t="s">
        <v>410</v>
      </c>
      <c r="E194" s="252">
        <v>12</v>
      </c>
      <c r="F194" s="252">
        <v>0</v>
      </c>
      <c r="G194" s="252">
        <v>0</v>
      </c>
      <c r="H194" s="252">
        <v>0</v>
      </c>
      <c r="I194" s="252">
        <v>12</v>
      </c>
      <c r="J194" s="252">
        <v>13</v>
      </c>
      <c r="K194" s="252">
        <v>25</v>
      </c>
      <c r="L194" s="252">
        <v>1</v>
      </c>
      <c r="M194" s="254">
        <v>4</v>
      </c>
      <c r="N194" s="255">
        <v>0.4</v>
      </c>
      <c r="O194" s="255">
        <v>0.6</v>
      </c>
      <c r="P194" s="259" t="s">
        <v>411</v>
      </c>
    </row>
    <row r="195" spans="1:16" x14ac:dyDescent="0.25">
      <c r="A195" s="258"/>
      <c r="B195" s="254"/>
      <c r="C195" s="252" t="s">
        <v>412</v>
      </c>
      <c r="D195" s="253" t="s">
        <v>413</v>
      </c>
      <c r="E195" s="252">
        <v>18</v>
      </c>
      <c r="F195" s="252">
        <v>0</v>
      </c>
      <c r="G195" s="252">
        <v>5</v>
      </c>
      <c r="H195" s="252">
        <v>13</v>
      </c>
      <c r="I195" s="252">
        <v>36</v>
      </c>
      <c r="J195" s="252">
        <v>39</v>
      </c>
      <c r="K195" s="252">
        <v>75</v>
      </c>
      <c r="L195" s="252">
        <v>3</v>
      </c>
      <c r="M195" s="254"/>
      <c r="N195" s="255">
        <v>0.4</v>
      </c>
      <c r="O195" s="255">
        <v>0.6</v>
      </c>
      <c r="P195" s="259" t="s">
        <v>414</v>
      </c>
    </row>
    <row r="196" spans="1:16" x14ac:dyDescent="0.25">
      <c r="A196" s="258" t="s">
        <v>316</v>
      </c>
      <c r="B196" s="251" t="s">
        <v>415</v>
      </c>
      <c r="C196" s="252" t="s">
        <v>416</v>
      </c>
      <c r="D196" s="253" t="s">
        <v>417</v>
      </c>
      <c r="E196" s="252">
        <v>14</v>
      </c>
      <c r="F196" s="252">
        <v>10</v>
      </c>
      <c r="G196" s="252">
        <v>0</v>
      </c>
      <c r="H196" s="252">
        <v>0</v>
      </c>
      <c r="I196" s="252">
        <v>24</v>
      </c>
      <c r="J196" s="252">
        <v>26</v>
      </c>
      <c r="K196" s="252">
        <v>50</v>
      </c>
      <c r="L196" s="252">
        <v>2</v>
      </c>
      <c r="M196" s="254">
        <v>4</v>
      </c>
      <c r="N196" s="255">
        <v>0.4</v>
      </c>
      <c r="O196" s="255">
        <v>0.6</v>
      </c>
      <c r="P196" s="256" t="s">
        <v>418</v>
      </c>
    </row>
    <row r="197" spans="1:16" ht="24" x14ac:dyDescent="0.25">
      <c r="A197" s="258"/>
      <c r="B197" s="254"/>
      <c r="C197" s="252" t="s">
        <v>419</v>
      </c>
      <c r="D197" s="253" t="s">
        <v>420</v>
      </c>
      <c r="E197" s="252">
        <v>4</v>
      </c>
      <c r="F197" s="252">
        <v>10</v>
      </c>
      <c r="G197" s="252">
        <v>10</v>
      </c>
      <c r="H197" s="252">
        <v>0</v>
      </c>
      <c r="I197" s="252">
        <v>24</v>
      </c>
      <c r="J197" s="252">
        <v>26</v>
      </c>
      <c r="K197" s="252">
        <v>50</v>
      </c>
      <c r="L197" s="252">
        <v>2</v>
      </c>
      <c r="M197" s="254"/>
      <c r="N197" s="255">
        <v>0.4</v>
      </c>
      <c r="O197" s="255">
        <v>0.6</v>
      </c>
      <c r="P197" s="256" t="s">
        <v>421</v>
      </c>
    </row>
    <row r="198" spans="1:16" ht="12.75" customHeight="1" x14ac:dyDescent="0.25">
      <c r="A198" s="247" t="s">
        <v>62</v>
      </c>
      <c r="B198" s="248"/>
      <c r="C198" s="248"/>
      <c r="D198" s="248"/>
      <c r="E198" s="248"/>
      <c r="F198" s="248"/>
      <c r="G198" s="248"/>
      <c r="H198" s="248"/>
      <c r="I198" s="248"/>
      <c r="J198" s="248"/>
      <c r="K198" s="248"/>
      <c r="L198" s="248"/>
      <c r="M198" s="248"/>
      <c r="N198" s="248"/>
      <c r="O198" s="248"/>
      <c r="P198" s="249"/>
    </row>
    <row r="199" spans="1:16" x14ac:dyDescent="0.25">
      <c r="A199" s="258" t="s">
        <v>422</v>
      </c>
      <c r="B199" s="254" t="s">
        <v>423</v>
      </c>
      <c r="C199" s="252" t="s">
        <v>424</v>
      </c>
      <c r="D199" s="253" t="s">
        <v>425</v>
      </c>
      <c r="E199" s="252">
        <v>8</v>
      </c>
      <c r="F199" s="252">
        <v>4</v>
      </c>
      <c r="G199" s="252">
        <v>0</v>
      </c>
      <c r="H199" s="252">
        <v>0</v>
      </c>
      <c r="I199" s="252">
        <v>12</v>
      </c>
      <c r="J199" s="252">
        <v>13</v>
      </c>
      <c r="K199" s="252">
        <v>25</v>
      </c>
      <c r="L199" s="252">
        <v>1</v>
      </c>
      <c r="M199" s="254">
        <v>2</v>
      </c>
      <c r="N199" s="255">
        <v>0.4</v>
      </c>
      <c r="O199" s="255">
        <v>0.6</v>
      </c>
      <c r="P199" s="260" t="s">
        <v>426</v>
      </c>
    </row>
    <row r="200" spans="1:16" ht="24" x14ac:dyDescent="0.25">
      <c r="A200" s="258"/>
      <c r="B200" s="254"/>
      <c r="C200" s="252" t="s">
        <v>427</v>
      </c>
      <c r="D200" s="253" t="s">
        <v>428</v>
      </c>
      <c r="E200" s="252">
        <v>8</v>
      </c>
      <c r="F200" s="252">
        <v>4</v>
      </c>
      <c r="G200" s="252">
        <v>0</v>
      </c>
      <c r="H200" s="252">
        <v>0</v>
      </c>
      <c r="I200" s="252">
        <v>12</v>
      </c>
      <c r="J200" s="252">
        <v>13</v>
      </c>
      <c r="K200" s="252">
        <v>25</v>
      </c>
      <c r="L200" s="252">
        <v>1</v>
      </c>
      <c r="M200" s="254"/>
      <c r="N200" s="255">
        <v>0.4</v>
      </c>
      <c r="O200" s="255">
        <v>0.6</v>
      </c>
      <c r="P200" s="260"/>
    </row>
    <row r="201" spans="1:16" ht="24" x14ac:dyDescent="0.25">
      <c r="A201" s="258" t="s">
        <v>429</v>
      </c>
      <c r="B201" s="251" t="s">
        <v>430</v>
      </c>
      <c r="C201" s="252" t="s">
        <v>431</v>
      </c>
      <c r="D201" s="253" t="s">
        <v>432</v>
      </c>
      <c r="E201" s="252">
        <v>24</v>
      </c>
      <c r="F201" s="252">
        <v>10</v>
      </c>
      <c r="G201" s="252">
        <v>0</v>
      </c>
      <c r="H201" s="252">
        <v>0</v>
      </c>
      <c r="I201" s="252">
        <v>24</v>
      </c>
      <c r="J201" s="252">
        <v>26</v>
      </c>
      <c r="K201" s="252">
        <v>50</v>
      </c>
      <c r="L201" s="252">
        <v>2</v>
      </c>
      <c r="M201" s="254">
        <v>4</v>
      </c>
      <c r="N201" s="255">
        <v>0.4</v>
      </c>
      <c r="O201" s="255">
        <v>0.6</v>
      </c>
      <c r="P201" s="261" t="s">
        <v>433</v>
      </c>
    </row>
    <row r="202" spans="1:16" x14ac:dyDescent="0.25">
      <c r="A202" s="258"/>
      <c r="B202" s="254"/>
      <c r="C202" s="252" t="s">
        <v>434</v>
      </c>
      <c r="D202" s="252" t="s">
        <v>435</v>
      </c>
      <c r="E202" s="252">
        <v>24</v>
      </c>
      <c r="F202" s="252">
        <v>10</v>
      </c>
      <c r="G202" s="252">
        <v>0</v>
      </c>
      <c r="H202" s="252">
        <v>0</v>
      </c>
      <c r="I202" s="252">
        <v>24</v>
      </c>
      <c r="J202" s="252">
        <v>26</v>
      </c>
      <c r="K202" s="252">
        <v>50</v>
      </c>
      <c r="L202" s="252">
        <v>2</v>
      </c>
      <c r="M202" s="254"/>
      <c r="N202" s="255">
        <v>0.4</v>
      </c>
      <c r="O202" s="255">
        <v>0.6</v>
      </c>
      <c r="P202" s="261" t="s">
        <v>436</v>
      </c>
    </row>
    <row r="203" spans="1:16" ht="20.25" customHeight="1" x14ac:dyDescent="0.25">
      <c r="A203" s="258" t="s">
        <v>437</v>
      </c>
      <c r="B203" s="251" t="s">
        <v>438</v>
      </c>
      <c r="C203" s="252" t="s">
        <v>439</v>
      </c>
      <c r="D203" s="253" t="s">
        <v>440</v>
      </c>
      <c r="E203" s="252">
        <v>6</v>
      </c>
      <c r="F203" s="252">
        <v>6</v>
      </c>
      <c r="G203" s="252">
        <v>0</v>
      </c>
      <c r="H203" s="252">
        <v>0</v>
      </c>
      <c r="I203" s="252">
        <v>12</v>
      </c>
      <c r="J203" s="252">
        <v>13</v>
      </c>
      <c r="K203" s="252">
        <v>25</v>
      </c>
      <c r="L203" s="252">
        <v>1</v>
      </c>
      <c r="M203" s="254">
        <v>3</v>
      </c>
      <c r="N203" s="255">
        <v>0.4</v>
      </c>
      <c r="O203" s="255">
        <v>0.6</v>
      </c>
      <c r="P203" s="262" t="s">
        <v>441</v>
      </c>
    </row>
    <row r="204" spans="1:16" ht="24" x14ac:dyDescent="0.25">
      <c r="A204" s="258"/>
      <c r="B204" s="254"/>
      <c r="C204" s="252" t="s">
        <v>442</v>
      </c>
      <c r="D204" s="253" t="s">
        <v>443</v>
      </c>
      <c r="E204" s="252">
        <v>10</v>
      </c>
      <c r="F204" s="252">
        <v>14</v>
      </c>
      <c r="G204" s="252">
        <v>0</v>
      </c>
      <c r="H204" s="252">
        <v>0</v>
      </c>
      <c r="I204" s="252">
        <v>24</v>
      </c>
      <c r="J204" s="252">
        <v>26</v>
      </c>
      <c r="K204" s="252">
        <v>50</v>
      </c>
      <c r="L204" s="252">
        <v>2</v>
      </c>
      <c r="M204" s="254"/>
      <c r="N204" s="255">
        <v>0.4</v>
      </c>
      <c r="O204" s="255">
        <v>0.6</v>
      </c>
      <c r="P204" s="262"/>
    </row>
    <row r="205" spans="1:16" ht="24" x14ac:dyDescent="0.25">
      <c r="A205" s="263" t="s">
        <v>444</v>
      </c>
      <c r="B205" s="253" t="s">
        <v>445</v>
      </c>
      <c r="C205" s="252" t="s">
        <v>444</v>
      </c>
      <c r="D205" s="253" t="s">
        <v>445</v>
      </c>
      <c r="E205" s="252">
        <v>24</v>
      </c>
      <c r="F205" s="252">
        <v>0</v>
      </c>
      <c r="G205" s="252">
        <v>0</v>
      </c>
      <c r="H205" s="252">
        <v>0</v>
      </c>
      <c r="I205" s="252">
        <v>24</v>
      </c>
      <c r="J205" s="252">
        <v>26</v>
      </c>
      <c r="K205" s="252">
        <v>50</v>
      </c>
      <c r="L205" s="252">
        <v>2</v>
      </c>
      <c r="M205" s="252">
        <v>2</v>
      </c>
      <c r="N205" s="255">
        <v>0.4</v>
      </c>
      <c r="O205" s="255">
        <v>0.6</v>
      </c>
      <c r="P205" s="264" t="s">
        <v>446</v>
      </c>
    </row>
    <row r="206" spans="1:16" ht="12" customHeight="1" x14ac:dyDescent="0.25">
      <c r="A206" s="247" t="s">
        <v>67</v>
      </c>
      <c r="B206" s="248"/>
      <c r="C206" s="248"/>
      <c r="D206" s="248"/>
      <c r="E206" s="248"/>
      <c r="F206" s="248"/>
      <c r="G206" s="248"/>
      <c r="H206" s="248"/>
      <c r="I206" s="248"/>
      <c r="J206" s="248"/>
      <c r="K206" s="248"/>
      <c r="L206" s="248"/>
      <c r="M206" s="248"/>
      <c r="N206" s="248"/>
      <c r="O206" s="248"/>
      <c r="P206" s="249"/>
    </row>
    <row r="207" spans="1:16" ht="14.25" customHeight="1" x14ac:dyDescent="0.25">
      <c r="A207" s="265" t="s">
        <v>447</v>
      </c>
      <c r="B207" s="252" t="s">
        <v>448</v>
      </c>
      <c r="C207" s="252" t="s">
        <v>447</v>
      </c>
      <c r="D207" s="252" t="s">
        <v>448</v>
      </c>
      <c r="E207" s="253">
        <v>16</v>
      </c>
      <c r="F207" s="253">
        <v>8</v>
      </c>
      <c r="G207" s="253">
        <v>0</v>
      </c>
      <c r="H207" s="253">
        <v>0</v>
      </c>
      <c r="I207" s="253">
        <v>24</v>
      </c>
      <c r="J207" s="253">
        <v>26</v>
      </c>
      <c r="K207" s="252">
        <v>50</v>
      </c>
      <c r="L207" s="252">
        <v>2</v>
      </c>
      <c r="M207" s="253">
        <v>2</v>
      </c>
      <c r="N207" s="255">
        <v>0.4</v>
      </c>
      <c r="O207" s="255">
        <v>0.6</v>
      </c>
      <c r="P207" s="264" t="s">
        <v>449</v>
      </c>
    </row>
    <row r="208" spans="1:16" ht="14.25" customHeight="1" thickBot="1" x14ac:dyDescent="0.3">
      <c r="A208" s="266" t="s">
        <v>319</v>
      </c>
      <c r="B208" s="267"/>
      <c r="C208" s="267"/>
      <c r="D208" s="267"/>
      <c r="E208" s="268">
        <f>SUM(E207,E199:E205,E194:E197,E188:E192)</f>
        <v>252</v>
      </c>
      <c r="F208" s="268">
        <f t="shared" ref="F208:L208" si="5">SUM(F207,F199:F205,F194:F197,F188:F192)</f>
        <v>76</v>
      </c>
      <c r="G208" s="268">
        <f t="shared" si="5"/>
        <v>27</v>
      </c>
      <c r="H208" s="268">
        <f t="shared" si="5"/>
        <v>25</v>
      </c>
      <c r="I208" s="268">
        <f>SUM(I207,I199:I205,I194:I197,I188:I192)</f>
        <v>360</v>
      </c>
      <c r="J208" s="268">
        <f t="shared" si="5"/>
        <v>390</v>
      </c>
      <c r="K208" s="268">
        <f t="shared" si="5"/>
        <v>750</v>
      </c>
      <c r="L208" s="269">
        <f t="shared" si="5"/>
        <v>30</v>
      </c>
      <c r="M208" s="270"/>
      <c r="N208" s="268"/>
      <c r="O208" s="268"/>
      <c r="P208" s="271"/>
    </row>
    <row r="209" spans="1:16" ht="15.75" thickBot="1" x14ac:dyDescent="0.3">
      <c r="A209" s="231"/>
      <c r="B209" s="229"/>
      <c r="C209" s="229"/>
      <c r="D209" s="229" t="s">
        <v>450</v>
      </c>
      <c r="E209" s="231"/>
      <c r="F209" s="231"/>
      <c r="G209" s="231"/>
      <c r="H209" s="231"/>
      <c r="I209" s="229"/>
      <c r="J209" s="231"/>
      <c r="K209" s="231"/>
      <c r="L209" s="231"/>
      <c r="M209" s="231"/>
      <c r="N209" s="231"/>
      <c r="O209" s="231"/>
      <c r="P209" s="231"/>
    </row>
    <row r="210" spans="1:16" x14ac:dyDescent="0.25">
      <c r="A210" s="277"/>
      <c r="B210" s="278" t="s">
        <v>248</v>
      </c>
      <c r="C210" s="278"/>
      <c r="D210" s="278"/>
      <c r="E210" s="278" t="s">
        <v>249</v>
      </c>
      <c r="F210" s="278"/>
      <c r="G210" s="278"/>
      <c r="H210" s="278"/>
      <c r="I210" s="278"/>
      <c r="J210" s="278"/>
      <c r="K210" s="278"/>
      <c r="L210" s="279" t="s">
        <v>250</v>
      </c>
      <c r="M210" s="280" t="s">
        <v>251</v>
      </c>
      <c r="N210" s="281" t="s">
        <v>11</v>
      </c>
      <c r="O210" s="281"/>
      <c r="P210" s="238" t="s">
        <v>12</v>
      </c>
    </row>
    <row r="211" spans="1:16" x14ac:dyDescent="0.25">
      <c r="A211" s="282" t="s">
        <v>252</v>
      </c>
      <c r="B211" s="283" t="s">
        <v>253</v>
      </c>
      <c r="C211" s="284" t="s">
        <v>254</v>
      </c>
      <c r="D211" s="285" t="s">
        <v>16</v>
      </c>
      <c r="E211" s="285" t="s">
        <v>255</v>
      </c>
      <c r="F211" s="285" t="s">
        <v>18</v>
      </c>
      <c r="G211" s="285" t="s">
        <v>19</v>
      </c>
      <c r="H211" s="285" t="s">
        <v>20</v>
      </c>
      <c r="I211" s="286" t="s">
        <v>21</v>
      </c>
      <c r="J211" s="285" t="s">
        <v>22</v>
      </c>
      <c r="K211" s="285" t="s">
        <v>23</v>
      </c>
      <c r="L211" s="287"/>
      <c r="M211" s="288"/>
      <c r="N211" s="285" t="s">
        <v>24</v>
      </c>
      <c r="O211" s="285" t="s">
        <v>25</v>
      </c>
      <c r="P211" s="246"/>
    </row>
    <row r="212" spans="1:16" x14ac:dyDescent="0.25">
      <c r="A212" s="247" t="s">
        <v>406</v>
      </c>
      <c r="B212" s="248"/>
      <c r="C212" s="248"/>
      <c r="D212" s="248"/>
      <c r="E212" s="248"/>
      <c r="F212" s="248"/>
      <c r="G212" s="248"/>
      <c r="H212" s="248"/>
      <c r="I212" s="248"/>
      <c r="J212" s="248"/>
      <c r="K212" s="248"/>
      <c r="L212" s="248"/>
      <c r="M212" s="248"/>
      <c r="N212" s="248"/>
      <c r="O212" s="248"/>
      <c r="P212" s="249"/>
    </row>
    <row r="213" spans="1:16" ht="24" x14ac:dyDescent="0.25">
      <c r="A213" s="250" t="s">
        <v>451</v>
      </c>
      <c r="B213" s="251" t="s">
        <v>452</v>
      </c>
      <c r="C213" s="252" t="s">
        <v>453</v>
      </c>
      <c r="D213" s="253" t="s">
        <v>454</v>
      </c>
      <c r="E213" s="252">
        <v>12</v>
      </c>
      <c r="F213" s="252">
        <v>0</v>
      </c>
      <c r="G213" s="252">
        <v>0</v>
      </c>
      <c r="H213" s="252">
        <v>0</v>
      </c>
      <c r="I213" s="252">
        <v>12</v>
      </c>
      <c r="J213" s="252">
        <v>13</v>
      </c>
      <c r="K213" s="252">
        <v>25</v>
      </c>
      <c r="L213" s="252">
        <v>1</v>
      </c>
      <c r="M213" s="254">
        <v>4</v>
      </c>
      <c r="N213" s="255">
        <v>0.4</v>
      </c>
      <c r="O213" s="255">
        <v>0.6</v>
      </c>
      <c r="P213" s="256" t="s">
        <v>455</v>
      </c>
    </row>
    <row r="214" spans="1:16" ht="24" x14ac:dyDescent="0.25">
      <c r="A214" s="250"/>
      <c r="B214" s="251"/>
      <c r="C214" s="252" t="s">
        <v>456</v>
      </c>
      <c r="D214" s="253" t="s">
        <v>457</v>
      </c>
      <c r="E214" s="252">
        <v>12</v>
      </c>
      <c r="F214" s="252">
        <v>0</v>
      </c>
      <c r="G214" s="252">
        <v>0</v>
      </c>
      <c r="H214" s="252">
        <v>0</v>
      </c>
      <c r="I214" s="252">
        <v>12</v>
      </c>
      <c r="J214" s="252">
        <v>13</v>
      </c>
      <c r="K214" s="252">
        <v>25</v>
      </c>
      <c r="L214" s="252">
        <v>1</v>
      </c>
      <c r="M214" s="254"/>
      <c r="N214" s="255">
        <v>0.4</v>
      </c>
      <c r="O214" s="255">
        <v>0.6</v>
      </c>
      <c r="P214" s="256" t="s">
        <v>403</v>
      </c>
    </row>
    <row r="215" spans="1:16" x14ac:dyDescent="0.25">
      <c r="A215" s="250"/>
      <c r="B215" s="254"/>
      <c r="C215" s="252" t="s">
        <v>458</v>
      </c>
      <c r="D215" s="252" t="s">
        <v>459</v>
      </c>
      <c r="E215" s="252">
        <v>16</v>
      </c>
      <c r="F215" s="252">
        <v>8</v>
      </c>
      <c r="G215" s="252">
        <v>0</v>
      </c>
      <c r="H215" s="252">
        <v>0</v>
      </c>
      <c r="I215" s="252">
        <v>24</v>
      </c>
      <c r="J215" s="252">
        <v>26</v>
      </c>
      <c r="K215" s="252">
        <v>50</v>
      </c>
      <c r="L215" s="252">
        <v>2</v>
      </c>
      <c r="M215" s="254"/>
      <c r="N215" s="255">
        <v>0.4</v>
      </c>
      <c r="O215" s="255">
        <v>0.6</v>
      </c>
      <c r="P215" s="264" t="s">
        <v>403</v>
      </c>
    </row>
    <row r="216" spans="1:16" x14ac:dyDescent="0.25">
      <c r="A216" s="250" t="s">
        <v>460</v>
      </c>
      <c r="B216" s="251" t="s">
        <v>461</v>
      </c>
      <c r="C216" s="252" t="s">
        <v>462</v>
      </c>
      <c r="D216" s="252" t="s">
        <v>463</v>
      </c>
      <c r="E216" s="252">
        <v>16</v>
      </c>
      <c r="F216" s="252">
        <v>0</v>
      </c>
      <c r="G216" s="252">
        <v>0</v>
      </c>
      <c r="H216" s="252">
        <v>8</v>
      </c>
      <c r="I216" s="252">
        <v>24</v>
      </c>
      <c r="J216" s="252">
        <v>26</v>
      </c>
      <c r="K216" s="252">
        <v>50</v>
      </c>
      <c r="L216" s="252">
        <v>2</v>
      </c>
      <c r="M216" s="254">
        <v>4</v>
      </c>
      <c r="N216" s="255">
        <v>0.4</v>
      </c>
      <c r="O216" s="255">
        <v>0.6</v>
      </c>
      <c r="P216" s="256" t="s">
        <v>436</v>
      </c>
    </row>
    <row r="217" spans="1:16" x14ac:dyDescent="0.25">
      <c r="A217" s="250"/>
      <c r="B217" s="251"/>
      <c r="C217" s="252" t="s">
        <v>464</v>
      </c>
      <c r="D217" s="252" t="s">
        <v>465</v>
      </c>
      <c r="E217" s="252">
        <v>16</v>
      </c>
      <c r="F217" s="252">
        <v>0</v>
      </c>
      <c r="G217" s="252">
        <v>0</v>
      </c>
      <c r="H217" s="252">
        <v>8</v>
      </c>
      <c r="I217" s="252">
        <v>24</v>
      </c>
      <c r="J217" s="252">
        <v>26</v>
      </c>
      <c r="K217" s="252">
        <v>50</v>
      </c>
      <c r="L217" s="252">
        <v>2</v>
      </c>
      <c r="M217" s="254"/>
      <c r="N217" s="255">
        <v>0.4</v>
      </c>
      <c r="O217" s="255">
        <v>0.6</v>
      </c>
      <c r="P217" s="256" t="s">
        <v>466</v>
      </c>
    </row>
    <row r="218" spans="1:16" x14ac:dyDescent="0.25">
      <c r="A218" s="250" t="s">
        <v>467</v>
      </c>
      <c r="B218" s="251" t="s">
        <v>468</v>
      </c>
      <c r="C218" s="252" t="s">
        <v>469</v>
      </c>
      <c r="D218" s="253" t="s">
        <v>470</v>
      </c>
      <c r="E218" s="252">
        <v>16</v>
      </c>
      <c r="F218" s="252">
        <v>0</v>
      </c>
      <c r="G218" s="252">
        <v>0</v>
      </c>
      <c r="H218" s="252">
        <v>8</v>
      </c>
      <c r="I218" s="252">
        <v>24</v>
      </c>
      <c r="J218" s="252">
        <v>26</v>
      </c>
      <c r="K218" s="252">
        <v>50</v>
      </c>
      <c r="L218" s="252">
        <v>2</v>
      </c>
      <c r="M218" s="254">
        <v>4</v>
      </c>
      <c r="N218" s="255">
        <v>0.4</v>
      </c>
      <c r="O218" s="255">
        <v>0.6</v>
      </c>
      <c r="P218" s="259" t="s">
        <v>471</v>
      </c>
    </row>
    <row r="219" spans="1:16" x14ac:dyDescent="0.25">
      <c r="A219" s="250"/>
      <c r="B219" s="254"/>
      <c r="C219" s="252" t="s">
        <v>472</v>
      </c>
      <c r="D219" s="253" t="s">
        <v>473</v>
      </c>
      <c r="E219" s="252">
        <v>16</v>
      </c>
      <c r="F219" s="252">
        <v>0</v>
      </c>
      <c r="G219" s="252">
        <v>0</v>
      </c>
      <c r="H219" s="252">
        <v>8</v>
      </c>
      <c r="I219" s="252">
        <v>24</v>
      </c>
      <c r="J219" s="252">
        <v>26</v>
      </c>
      <c r="K219" s="252">
        <v>50</v>
      </c>
      <c r="L219" s="252">
        <v>2</v>
      </c>
      <c r="M219" s="254"/>
      <c r="N219" s="255">
        <v>0.4</v>
      </c>
      <c r="O219" s="255">
        <v>0.6</v>
      </c>
      <c r="P219" s="259" t="s">
        <v>418</v>
      </c>
    </row>
    <row r="220" spans="1:16" x14ac:dyDescent="0.25">
      <c r="A220" s="250" t="s">
        <v>474</v>
      </c>
      <c r="B220" s="251" t="s">
        <v>475</v>
      </c>
      <c r="C220" s="253" t="s">
        <v>476</v>
      </c>
      <c r="D220" s="253" t="s">
        <v>477</v>
      </c>
      <c r="E220" s="252">
        <v>8</v>
      </c>
      <c r="F220" s="252">
        <v>0</v>
      </c>
      <c r="G220" s="252">
        <v>0</v>
      </c>
      <c r="H220" s="252">
        <v>4</v>
      </c>
      <c r="I220" s="252">
        <v>12</v>
      </c>
      <c r="J220" s="252">
        <v>13</v>
      </c>
      <c r="K220" s="252">
        <v>25</v>
      </c>
      <c r="L220" s="252">
        <v>1</v>
      </c>
      <c r="M220" s="254">
        <v>4</v>
      </c>
      <c r="N220" s="255">
        <v>0.4</v>
      </c>
      <c r="O220" s="255">
        <v>0.6</v>
      </c>
      <c r="P220" s="259" t="s">
        <v>421</v>
      </c>
    </row>
    <row r="221" spans="1:16" x14ac:dyDescent="0.25">
      <c r="A221" s="250"/>
      <c r="B221" s="251"/>
      <c r="C221" s="253" t="s">
        <v>478</v>
      </c>
      <c r="D221" s="253" t="s">
        <v>479</v>
      </c>
      <c r="E221" s="252">
        <v>8</v>
      </c>
      <c r="F221" s="252">
        <v>0</v>
      </c>
      <c r="G221" s="252">
        <v>0</v>
      </c>
      <c r="H221" s="252">
        <v>4</v>
      </c>
      <c r="I221" s="252">
        <v>12</v>
      </c>
      <c r="J221" s="252">
        <v>13</v>
      </c>
      <c r="K221" s="252">
        <v>25</v>
      </c>
      <c r="L221" s="252">
        <v>1</v>
      </c>
      <c r="M221" s="254"/>
      <c r="N221" s="255">
        <v>0.4</v>
      </c>
      <c r="O221" s="255">
        <v>0.6</v>
      </c>
      <c r="P221" s="259" t="s">
        <v>480</v>
      </c>
    </row>
    <row r="222" spans="1:16" ht="36" x14ac:dyDescent="0.25">
      <c r="A222" s="250"/>
      <c r="B222" s="251"/>
      <c r="C222" s="253" t="s">
        <v>481</v>
      </c>
      <c r="D222" s="253" t="s">
        <v>482</v>
      </c>
      <c r="E222" s="252">
        <v>16</v>
      </c>
      <c r="F222" s="252">
        <v>0</v>
      </c>
      <c r="G222" s="252">
        <v>0</v>
      </c>
      <c r="H222" s="252">
        <v>8</v>
      </c>
      <c r="I222" s="252">
        <v>24</v>
      </c>
      <c r="J222" s="252">
        <v>26</v>
      </c>
      <c r="K222" s="252">
        <v>50</v>
      </c>
      <c r="L222" s="252">
        <v>2</v>
      </c>
      <c r="M222" s="254"/>
      <c r="N222" s="255">
        <v>0.4</v>
      </c>
      <c r="O222" s="255">
        <v>0.6</v>
      </c>
      <c r="P222" s="289" t="s">
        <v>483</v>
      </c>
    </row>
    <row r="223" spans="1:16" x14ac:dyDescent="0.25">
      <c r="A223" s="258" t="s">
        <v>484</v>
      </c>
      <c r="B223" s="251" t="s">
        <v>485</v>
      </c>
      <c r="C223" s="252" t="s">
        <v>486</v>
      </c>
      <c r="D223" s="253" t="s">
        <v>487</v>
      </c>
      <c r="E223" s="252">
        <v>16</v>
      </c>
      <c r="F223" s="252">
        <v>0</v>
      </c>
      <c r="G223" s="252">
        <v>0</v>
      </c>
      <c r="H223" s="252">
        <v>8</v>
      </c>
      <c r="I223" s="252">
        <v>24</v>
      </c>
      <c r="J223" s="252">
        <v>26</v>
      </c>
      <c r="K223" s="252">
        <v>50</v>
      </c>
      <c r="L223" s="252">
        <v>2</v>
      </c>
      <c r="M223" s="254">
        <v>4</v>
      </c>
      <c r="N223" s="255">
        <v>0.4</v>
      </c>
      <c r="O223" s="255">
        <v>0.6</v>
      </c>
      <c r="P223" s="256" t="s">
        <v>488</v>
      </c>
    </row>
    <row r="224" spans="1:16" x14ac:dyDescent="0.25">
      <c r="A224" s="258"/>
      <c r="B224" s="254"/>
      <c r="C224" s="252" t="s">
        <v>489</v>
      </c>
      <c r="D224" s="253" t="s">
        <v>490</v>
      </c>
      <c r="E224" s="252">
        <v>16</v>
      </c>
      <c r="F224" s="252">
        <v>0</v>
      </c>
      <c r="G224" s="252">
        <v>0</v>
      </c>
      <c r="H224" s="252">
        <v>8</v>
      </c>
      <c r="I224" s="252">
        <v>24</v>
      </c>
      <c r="J224" s="252">
        <v>26</v>
      </c>
      <c r="K224" s="252">
        <v>50</v>
      </c>
      <c r="L224" s="252">
        <v>2</v>
      </c>
      <c r="M224" s="254"/>
      <c r="N224" s="255">
        <v>0.4</v>
      </c>
      <c r="O224" s="255">
        <v>0.6</v>
      </c>
      <c r="P224" s="256" t="s">
        <v>491</v>
      </c>
    </row>
    <row r="225" spans="1:16" x14ac:dyDescent="0.25">
      <c r="A225" s="247" t="s">
        <v>62</v>
      </c>
      <c r="B225" s="248"/>
      <c r="C225" s="248"/>
      <c r="D225" s="248"/>
      <c r="E225" s="248"/>
      <c r="F225" s="248"/>
      <c r="G225" s="248"/>
      <c r="H225" s="248"/>
      <c r="I225" s="248"/>
      <c r="J225" s="248"/>
      <c r="K225" s="248"/>
      <c r="L225" s="248"/>
      <c r="M225" s="248"/>
      <c r="N225" s="248"/>
      <c r="O225" s="248"/>
      <c r="P225" s="249"/>
    </row>
    <row r="226" spans="1:16" x14ac:dyDescent="0.25">
      <c r="A226" s="258" t="s">
        <v>492</v>
      </c>
      <c r="B226" s="251" t="s">
        <v>493</v>
      </c>
      <c r="C226" s="252" t="s">
        <v>494</v>
      </c>
      <c r="D226" s="252" t="s">
        <v>495</v>
      </c>
      <c r="E226" s="252">
        <v>10</v>
      </c>
      <c r="F226" s="252">
        <v>4</v>
      </c>
      <c r="G226" s="252">
        <v>5</v>
      </c>
      <c r="H226" s="252">
        <v>5</v>
      </c>
      <c r="I226" s="252">
        <v>24</v>
      </c>
      <c r="J226" s="252">
        <v>26</v>
      </c>
      <c r="K226" s="252">
        <v>50</v>
      </c>
      <c r="L226" s="252">
        <v>2</v>
      </c>
      <c r="M226" s="254">
        <v>3</v>
      </c>
      <c r="N226" s="255">
        <v>0.4</v>
      </c>
      <c r="O226" s="255">
        <v>0.6</v>
      </c>
      <c r="P226" s="256" t="s">
        <v>496</v>
      </c>
    </row>
    <row r="227" spans="1:16" ht="24" x14ac:dyDescent="0.25">
      <c r="A227" s="258"/>
      <c r="B227" s="254"/>
      <c r="C227" s="252" t="s">
        <v>497</v>
      </c>
      <c r="D227" s="252" t="s">
        <v>498</v>
      </c>
      <c r="E227" s="252">
        <v>8</v>
      </c>
      <c r="F227" s="252">
        <v>4</v>
      </c>
      <c r="G227" s="252">
        <v>0</v>
      </c>
      <c r="H227" s="252">
        <v>0</v>
      </c>
      <c r="I227" s="252">
        <v>12</v>
      </c>
      <c r="J227" s="252">
        <v>13</v>
      </c>
      <c r="K227" s="252">
        <v>25</v>
      </c>
      <c r="L227" s="252">
        <v>1</v>
      </c>
      <c r="M227" s="254"/>
      <c r="N227" s="255">
        <v>0.4</v>
      </c>
      <c r="O227" s="255">
        <v>0.6</v>
      </c>
      <c r="P227" s="256" t="s">
        <v>499</v>
      </c>
    </row>
    <row r="228" spans="1:16" ht="24" x14ac:dyDescent="0.25">
      <c r="A228" s="258" t="s">
        <v>500</v>
      </c>
      <c r="B228" s="251" t="s">
        <v>501</v>
      </c>
      <c r="C228" s="253" t="s">
        <v>502</v>
      </c>
      <c r="D228" s="253" t="s">
        <v>503</v>
      </c>
      <c r="E228" s="252">
        <v>8</v>
      </c>
      <c r="F228" s="252">
        <v>0</v>
      </c>
      <c r="G228" s="252">
        <v>0</v>
      </c>
      <c r="H228" s="252">
        <v>4</v>
      </c>
      <c r="I228" s="252">
        <v>12</v>
      </c>
      <c r="J228" s="252">
        <v>13</v>
      </c>
      <c r="K228" s="252">
        <v>25</v>
      </c>
      <c r="L228" s="252">
        <v>1</v>
      </c>
      <c r="M228" s="254">
        <v>3</v>
      </c>
      <c r="N228" s="255">
        <v>0.4</v>
      </c>
      <c r="O228" s="255">
        <v>0.6</v>
      </c>
      <c r="P228" s="264" t="s">
        <v>374</v>
      </c>
    </row>
    <row r="229" spans="1:16" ht="24" x14ac:dyDescent="0.25">
      <c r="A229" s="258"/>
      <c r="B229" s="251"/>
      <c r="C229" s="253" t="s">
        <v>504</v>
      </c>
      <c r="D229" s="253" t="s">
        <v>505</v>
      </c>
      <c r="E229" s="252">
        <v>12</v>
      </c>
      <c r="F229" s="252">
        <v>0</v>
      </c>
      <c r="G229" s="252">
        <v>0</v>
      </c>
      <c r="H229" s="252">
        <v>0</v>
      </c>
      <c r="I229" s="252">
        <v>12</v>
      </c>
      <c r="J229" s="252">
        <v>13</v>
      </c>
      <c r="K229" s="252">
        <v>25</v>
      </c>
      <c r="L229" s="252">
        <v>1</v>
      </c>
      <c r="M229" s="254"/>
      <c r="N229" s="255">
        <v>0.4</v>
      </c>
      <c r="O229" s="255">
        <v>0.6</v>
      </c>
      <c r="P229" s="264" t="s">
        <v>374</v>
      </c>
    </row>
    <row r="230" spans="1:16" ht="24" x14ac:dyDescent="0.25">
      <c r="A230" s="258"/>
      <c r="B230" s="254"/>
      <c r="C230" s="253" t="s">
        <v>506</v>
      </c>
      <c r="D230" s="253" t="s">
        <v>507</v>
      </c>
      <c r="E230" s="252">
        <v>0</v>
      </c>
      <c r="F230" s="252">
        <v>12</v>
      </c>
      <c r="G230" s="252">
        <v>0</v>
      </c>
      <c r="H230" s="252">
        <v>0</v>
      </c>
      <c r="I230" s="252">
        <v>12</v>
      </c>
      <c r="J230" s="252">
        <v>13</v>
      </c>
      <c r="K230" s="252">
        <v>25</v>
      </c>
      <c r="L230" s="252">
        <v>1</v>
      </c>
      <c r="M230" s="254"/>
      <c r="N230" s="255">
        <v>0.4</v>
      </c>
      <c r="O230" s="255">
        <v>0.6</v>
      </c>
      <c r="P230" s="264" t="s">
        <v>508</v>
      </c>
    </row>
    <row r="231" spans="1:16" x14ac:dyDescent="0.25">
      <c r="A231" s="265" t="s">
        <v>509</v>
      </c>
      <c r="B231" s="252" t="s">
        <v>510</v>
      </c>
      <c r="C231" s="252" t="s">
        <v>509</v>
      </c>
      <c r="D231" s="252" t="s">
        <v>511</v>
      </c>
      <c r="E231" s="253">
        <v>0</v>
      </c>
      <c r="F231" s="253">
        <v>0</v>
      </c>
      <c r="G231" s="253">
        <v>0</v>
      </c>
      <c r="H231" s="253">
        <v>48</v>
      </c>
      <c r="I231" s="253">
        <v>48</v>
      </c>
      <c r="J231" s="253">
        <v>52</v>
      </c>
      <c r="K231" s="252">
        <v>100</v>
      </c>
      <c r="L231" s="252">
        <v>4</v>
      </c>
      <c r="M231" s="253">
        <v>4</v>
      </c>
      <c r="N231" s="255"/>
      <c r="O231" s="255"/>
      <c r="P231" s="264" t="s">
        <v>512</v>
      </c>
    </row>
    <row r="232" spans="1:16" ht="15.75" thickBot="1" x14ac:dyDescent="0.3">
      <c r="A232" s="266" t="s">
        <v>381</v>
      </c>
      <c r="B232" s="267"/>
      <c r="C232" s="267"/>
      <c r="D232" s="267"/>
      <c r="E232" s="268">
        <f>SUM(E213:E224,E226:E227,E228:E230,E231)</f>
        <v>206</v>
      </c>
      <c r="F232" s="268">
        <f t="shared" ref="F232:K232" si="6">SUM(F213:F217,F218:F224,F226:F230,F231)</f>
        <v>28</v>
      </c>
      <c r="G232" s="268">
        <f t="shared" si="6"/>
        <v>5</v>
      </c>
      <c r="H232" s="268">
        <f t="shared" si="6"/>
        <v>121</v>
      </c>
      <c r="I232" s="268">
        <f t="shared" si="6"/>
        <v>360</v>
      </c>
      <c r="J232" s="268">
        <f t="shared" si="6"/>
        <v>390</v>
      </c>
      <c r="K232" s="268">
        <f t="shared" si="6"/>
        <v>750</v>
      </c>
      <c r="L232" s="268">
        <f>SUM(M213:M217,M218:M224,M226:M230,M231)</f>
        <v>30</v>
      </c>
      <c r="M232" s="268">
        <f>SUM(M213:M217,M218:M224,M226:M230,M231)</f>
        <v>30</v>
      </c>
      <c r="N232" s="268"/>
      <c r="O232" s="268"/>
      <c r="P232" s="271"/>
    </row>
    <row r="237" spans="1:16" x14ac:dyDescent="0.25">
      <c r="C237" s="1" t="s">
        <v>0</v>
      </c>
      <c r="P237"/>
    </row>
    <row r="238" spans="1:16" x14ac:dyDescent="0.25">
      <c r="C238" s="1" t="s">
        <v>1</v>
      </c>
      <c r="P238"/>
    </row>
    <row r="239" spans="1:16" x14ac:dyDescent="0.25">
      <c r="C239" s="1" t="s">
        <v>513</v>
      </c>
      <c r="P239"/>
    </row>
    <row r="240" spans="1:16" x14ac:dyDescent="0.25">
      <c r="C240" s="1" t="s">
        <v>514</v>
      </c>
      <c r="P240"/>
    </row>
    <row r="241" spans="1:16" x14ac:dyDescent="0.25">
      <c r="A241" s="290"/>
      <c r="B241" s="291"/>
      <c r="C241" s="2" t="s">
        <v>515</v>
      </c>
      <c r="G241" s="290"/>
      <c r="H241" s="292"/>
      <c r="I241" s="292"/>
      <c r="J241" s="290"/>
      <c r="K241" s="292"/>
      <c r="L241" s="292"/>
      <c r="M241" s="292"/>
      <c r="N241" s="292"/>
      <c r="O241" s="292"/>
      <c r="P241" s="290"/>
    </row>
    <row r="242" spans="1:16" ht="15.75" thickBot="1" x14ac:dyDescent="0.3">
      <c r="A242" s="291"/>
      <c r="B242" s="291"/>
      <c r="C242" s="1" t="s">
        <v>516</v>
      </c>
      <c r="G242" s="291"/>
      <c r="H242" s="292"/>
      <c r="I242" s="291"/>
      <c r="J242" s="291"/>
      <c r="K242" s="292"/>
      <c r="L242" s="292"/>
      <c r="M242" s="292"/>
      <c r="N242" s="292"/>
      <c r="O242" s="292"/>
      <c r="P242" s="291"/>
    </row>
    <row r="243" spans="1:16" x14ac:dyDescent="0.25">
      <c r="A243" s="293"/>
      <c r="B243" s="294" t="s">
        <v>248</v>
      </c>
      <c r="C243" s="294"/>
      <c r="D243" s="294"/>
      <c r="E243" s="294" t="s">
        <v>249</v>
      </c>
      <c r="F243" s="294"/>
      <c r="G243" s="294"/>
      <c r="H243" s="294"/>
      <c r="I243" s="294"/>
      <c r="J243" s="294"/>
      <c r="K243" s="294"/>
      <c r="L243" s="295" t="s">
        <v>250</v>
      </c>
      <c r="M243" s="294" t="s">
        <v>251</v>
      </c>
      <c r="N243" s="294" t="s">
        <v>11</v>
      </c>
      <c r="O243" s="294"/>
      <c r="P243" s="294" t="s">
        <v>12</v>
      </c>
    </row>
    <row r="244" spans="1:16" ht="15.75" thickBot="1" x14ac:dyDescent="0.3">
      <c r="A244" s="296" t="s">
        <v>252</v>
      </c>
      <c r="B244" s="297" t="s">
        <v>253</v>
      </c>
      <c r="C244" s="297" t="s">
        <v>254</v>
      </c>
      <c r="D244" s="297" t="s">
        <v>16</v>
      </c>
      <c r="E244" s="297" t="s">
        <v>255</v>
      </c>
      <c r="F244" s="297" t="s">
        <v>18</v>
      </c>
      <c r="G244" s="297" t="s">
        <v>19</v>
      </c>
      <c r="H244" s="297" t="s">
        <v>20</v>
      </c>
      <c r="I244" s="297" t="s">
        <v>21</v>
      </c>
      <c r="J244" s="297" t="s">
        <v>22</v>
      </c>
      <c r="K244" s="297" t="s">
        <v>23</v>
      </c>
      <c r="L244" s="298"/>
      <c r="M244" s="299"/>
      <c r="N244" s="300" t="s">
        <v>24</v>
      </c>
      <c r="O244" s="300" t="s">
        <v>25</v>
      </c>
      <c r="P244" s="299"/>
    </row>
    <row r="245" spans="1:16" ht="13.5" customHeight="1" thickBot="1" x14ac:dyDescent="0.3">
      <c r="A245" s="301" t="s">
        <v>26</v>
      </c>
      <c r="B245" s="302"/>
      <c r="C245" s="302"/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2"/>
      <c r="P245" s="302"/>
    </row>
    <row r="246" spans="1:16" ht="15.75" thickBot="1" x14ac:dyDescent="0.3">
      <c r="A246" s="303" t="s">
        <v>517</v>
      </c>
      <c r="B246" s="304" t="s">
        <v>518</v>
      </c>
      <c r="C246" s="305" t="s">
        <v>519</v>
      </c>
      <c r="D246" s="306" t="s">
        <v>520</v>
      </c>
      <c r="E246" s="307">
        <v>25</v>
      </c>
      <c r="F246" s="307">
        <v>0</v>
      </c>
      <c r="G246" s="307">
        <v>11</v>
      </c>
      <c r="H246" s="307">
        <v>0</v>
      </c>
      <c r="I246" s="307">
        <v>36</v>
      </c>
      <c r="J246" s="307">
        <v>39</v>
      </c>
      <c r="K246" s="307">
        <v>75</v>
      </c>
      <c r="L246" s="307">
        <v>3</v>
      </c>
      <c r="M246" s="308">
        <v>6</v>
      </c>
      <c r="N246" s="309">
        <v>0.4</v>
      </c>
      <c r="O246" s="309">
        <v>0.6</v>
      </c>
      <c r="P246" s="310" t="s">
        <v>521</v>
      </c>
    </row>
    <row r="247" spans="1:16" ht="15.75" thickBot="1" x14ac:dyDescent="0.3">
      <c r="A247" s="311"/>
      <c r="B247" s="312"/>
      <c r="C247" s="313" t="s">
        <v>522</v>
      </c>
      <c r="D247" s="314" t="s">
        <v>523</v>
      </c>
      <c r="E247" s="315">
        <v>25</v>
      </c>
      <c r="F247" s="315">
        <v>0</v>
      </c>
      <c r="G247" s="315">
        <v>11</v>
      </c>
      <c r="H247" s="315">
        <v>0</v>
      </c>
      <c r="I247" s="315">
        <v>36</v>
      </c>
      <c r="J247" s="315">
        <v>39</v>
      </c>
      <c r="K247" s="315">
        <v>75</v>
      </c>
      <c r="L247" s="315">
        <v>3</v>
      </c>
      <c r="M247" s="316"/>
      <c r="N247" s="317">
        <v>0.4</v>
      </c>
      <c r="O247" s="317">
        <v>0.6</v>
      </c>
      <c r="P247" s="318"/>
    </row>
    <row r="248" spans="1:16" ht="15.75" thickBot="1" x14ac:dyDescent="0.3">
      <c r="A248" s="319" t="s">
        <v>524</v>
      </c>
      <c r="B248" s="320" t="s">
        <v>525</v>
      </c>
      <c r="C248" s="305" t="s">
        <v>526</v>
      </c>
      <c r="D248" s="321" t="s">
        <v>527</v>
      </c>
      <c r="E248" s="307">
        <v>12</v>
      </c>
      <c r="F248" s="307">
        <v>0</v>
      </c>
      <c r="G248" s="307">
        <v>0</v>
      </c>
      <c r="H248" s="307">
        <v>0</v>
      </c>
      <c r="I248" s="307">
        <v>12</v>
      </c>
      <c r="J248" s="307">
        <v>13</v>
      </c>
      <c r="K248" s="307">
        <v>25</v>
      </c>
      <c r="L248" s="307">
        <v>1</v>
      </c>
      <c r="M248" s="308">
        <v>2</v>
      </c>
      <c r="N248" s="309">
        <v>0.4</v>
      </c>
      <c r="O248" s="309">
        <v>0.6</v>
      </c>
      <c r="P248" s="322" t="s">
        <v>528</v>
      </c>
    </row>
    <row r="249" spans="1:16" ht="23.25" thickBot="1" x14ac:dyDescent="0.3">
      <c r="A249" s="323"/>
      <c r="B249" s="312"/>
      <c r="C249" s="313" t="s">
        <v>529</v>
      </c>
      <c r="D249" s="321" t="s">
        <v>530</v>
      </c>
      <c r="E249" s="324">
        <v>12</v>
      </c>
      <c r="F249" s="324">
        <v>0</v>
      </c>
      <c r="G249" s="324">
        <v>0</v>
      </c>
      <c r="H249" s="324">
        <v>0</v>
      </c>
      <c r="I249" s="324">
        <v>12</v>
      </c>
      <c r="J249" s="324">
        <v>13</v>
      </c>
      <c r="K249" s="324">
        <v>25</v>
      </c>
      <c r="L249" s="324">
        <v>1</v>
      </c>
      <c r="M249" s="316"/>
      <c r="N249" s="325">
        <v>0.4</v>
      </c>
      <c r="O249" s="325">
        <v>0.6</v>
      </c>
      <c r="P249" s="326"/>
    </row>
    <row r="250" spans="1:16" ht="15.75" thickBot="1" x14ac:dyDescent="0.3">
      <c r="A250" s="327" t="s">
        <v>492</v>
      </c>
      <c r="B250" s="320" t="s">
        <v>531</v>
      </c>
      <c r="C250" s="305" t="s">
        <v>494</v>
      </c>
      <c r="D250" s="321" t="s">
        <v>532</v>
      </c>
      <c r="E250" s="307">
        <v>24</v>
      </c>
      <c r="F250" s="307">
        <v>0</v>
      </c>
      <c r="G250" s="307">
        <v>0</v>
      </c>
      <c r="H250" s="307">
        <v>0</v>
      </c>
      <c r="I250" s="307">
        <v>24</v>
      </c>
      <c r="J250" s="307">
        <v>26</v>
      </c>
      <c r="K250" s="307">
        <v>50</v>
      </c>
      <c r="L250" s="307">
        <v>2</v>
      </c>
      <c r="M250" s="308">
        <v>3</v>
      </c>
      <c r="N250" s="309">
        <v>0.4</v>
      </c>
      <c r="O250" s="309">
        <v>0.6</v>
      </c>
      <c r="P250" s="308" t="s">
        <v>533</v>
      </c>
    </row>
    <row r="251" spans="1:16" ht="15.75" thickBot="1" x14ac:dyDescent="0.3">
      <c r="A251" s="316"/>
      <c r="B251" s="328"/>
      <c r="C251" s="313" t="s">
        <v>497</v>
      </c>
      <c r="D251" s="329" t="s">
        <v>498</v>
      </c>
      <c r="E251" s="330">
        <v>12</v>
      </c>
      <c r="F251" s="330">
        <v>0</v>
      </c>
      <c r="G251" s="330">
        <v>0</v>
      </c>
      <c r="H251" s="330">
        <v>0</v>
      </c>
      <c r="I251" s="330">
        <v>12</v>
      </c>
      <c r="J251" s="330">
        <v>13</v>
      </c>
      <c r="K251" s="330">
        <v>25</v>
      </c>
      <c r="L251" s="330">
        <v>1</v>
      </c>
      <c r="M251" s="316"/>
      <c r="N251" s="331">
        <v>0.4</v>
      </c>
      <c r="O251" s="331">
        <v>0.6</v>
      </c>
      <c r="P251" s="316"/>
    </row>
    <row r="252" spans="1:16" ht="12" customHeight="1" thickBot="1" x14ac:dyDescent="0.3">
      <c r="A252" s="301" t="s">
        <v>406</v>
      </c>
      <c r="B252" s="302"/>
      <c r="C252" s="302"/>
      <c r="D252" s="302"/>
      <c r="E252" s="302"/>
      <c r="F252" s="302"/>
      <c r="G252" s="302"/>
      <c r="H252" s="302"/>
      <c r="I252" s="302"/>
      <c r="J252" s="302"/>
      <c r="K252" s="302"/>
      <c r="L252" s="302"/>
      <c r="M252" s="302"/>
      <c r="N252" s="302"/>
      <c r="O252" s="302"/>
      <c r="P252" s="302"/>
    </row>
    <row r="253" spans="1:16" ht="15.75" thickTop="1" x14ac:dyDescent="0.25">
      <c r="A253" s="332" t="s">
        <v>534</v>
      </c>
      <c r="B253" s="333" t="s">
        <v>535</v>
      </c>
      <c r="C253" s="334" t="s">
        <v>536</v>
      </c>
      <c r="D253" s="335" t="s">
        <v>537</v>
      </c>
      <c r="E253" s="336">
        <v>14</v>
      </c>
      <c r="F253" s="307">
        <v>0</v>
      </c>
      <c r="G253" s="307">
        <v>8</v>
      </c>
      <c r="H253" s="307">
        <v>2</v>
      </c>
      <c r="I253" s="307">
        <v>24</v>
      </c>
      <c r="J253" s="307">
        <v>26</v>
      </c>
      <c r="K253" s="307">
        <v>50</v>
      </c>
      <c r="L253" s="307">
        <v>2</v>
      </c>
      <c r="M253" s="308">
        <v>4</v>
      </c>
      <c r="N253" s="309">
        <v>0.4</v>
      </c>
      <c r="O253" s="309">
        <v>0.6</v>
      </c>
      <c r="P253" s="333" t="s">
        <v>538</v>
      </c>
    </row>
    <row r="254" spans="1:16" ht="15.75" thickBot="1" x14ac:dyDescent="0.3">
      <c r="A254" s="337"/>
      <c r="B254" s="338"/>
      <c r="C254" s="339" t="s">
        <v>539</v>
      </c>
      <c r="D254" s="340" t="s">
        <v>540</v>
      </c>
      <c r="E254" s="341">
        <v>14</v>
      </c>
      <c r="F254" s="315">
        <v>0</v>
      </c>
      <c r="G254" s="315">
        <v>8</v>
      </c>
      <c r="H254" s="315">
        <v>2</v>
      </c>
      <c r="I254" s="315">
        <v>24</v>
      </c>
      <c r="J254" s="315">
        <v>26</v>
      </c>
      <c r="K254" s="315">
        <v>50</v>
      </c>
      <c r="L254" s="315">
        <v>2</v>
      </c>
      <c r="M254" s="316"/>
      <c r="N254" s="317">
        <v>0.4</v>
      </c>
      <c r="O254" s="317">
        <v>0.6</v>
      </c>
      <c r="P254" s="338"/>
    </row>
    <row r="255" spans="1:16" ht="15.75" thickBot="1" x14ac:dyDescent="0.3">
      <c r="A255" s="342" t="s">
        <v>62</v>
      </c>
      <c r="B255" s="343"/>
      <c r="C255" s="343"/>
      <c r="D255" s="343"/>
      <c r="E255" s="343"/>
      <c r="F255" s="343"/>
      <c r="G255" s="343"/>
      <c r="H255" s="343"/>
      <c r="I255" s="343"/>
      <c r="J255" s="343"/>
      <c r="K255" s="343"/>
      <c r="L255" s="343"/>
      <c r="M255" s="343"/>
      <c r="N255" s="343"/>
      <c r="O255" s="343"/>
      <c r="P255" s="343"/>
    </row>
    <row r="256" spans="1:16" ht="15.75" thickBot="1" x14ac:dyDescent="0.3">
      <c r="A256" s="332" t="s">
        <v>437</v>
      </c>
      <c r="B256" s="304" t="s">
        <v>541</v>
      </c>
      <c r="C256" s="344" t="s">
        <v>439</v>
      </c>
      <c r="D256" s="306" t="s">
        <v>542</v>
      </c>
      <c r="E256" s="307">
        <v>8</v>
      </c>
      <c r="F256" s="307">
        <v>4</v>
      </c>
      <c r="G256" s="307">
        <v>0</v>
      </c>
      <c r="H256" s="307">
        <v>0</v>
      </c>
      <c r="I256" s="307">
        <v>12</v>
      </c>
      <c r="J256" s="307">
        <v>13</v>
      </c>
      <c r="K256" s="307">
        <v>25</v>
      </c>
      <c r="L256" s="307">
        <v>1</v>
      </c>
      <c r="M256" s="308">
        <v>3</v>
      </c>
      <c r="N256" s="309">
        <v>0.4</v>
      </c>
      <c r="O256" s="309">
        <v>0.6</v>
      </c>
      <c r="P256" s="333" t="s">
        <v>543</v>
      </c>
    </row>
    <row r="257" spans="1:16" ht="15.75" thickBot="1" x14ac:dyDescent="0.3">
      <c r="A257" s="337"/>
      <c r="B257" s="312"/>
      <c r="C257" s="329" t="s">
        <v>442</v>
      </c>
      <c r="D257" s="314" t="s">
        <v>544</v>
      </c>
      <c r="E257" s="315">
        <v>10</v>
      </c>
      <c r="F257" s="315">
        <v>14</v>
      </c>
      <c r="G257" s="315">
        <v>0</v>
      </c>
      <c r="H257" s="315">
        <v>0</v>
      </c>
      <c r="I257" s="315">
        <v>24</v>
      </c>
      <c r="J257" s="315">
        <v>26</v>
      </c>
      <c r="K257" s="315">
        <v>50</v>
      </c>
      <c r="L257" s="315">
        <v>2</v>
      </c>
      <c r="M257" s="316"/>
      <c r="N257" s="317">
        <v>0.4</v>
      </c>
      <c r="O257" s="317">
        <v>0.6</v>
      </c>
      <c r="P257" s="338"/>
    </row>
    <row r="258" spans="1:16" ht="15.75" thickBot="1" x14ac:dyDescent="0.3">
      <c r="A258" s="303" t="s">
        <v>422</v>
      </c>
      <c r="B258" s="320" t="s">
        <v>423</v>
      </c>
      <c r="C258" s="344" t="s">
        <v>424</v>
      </c>
      <c r="D258" s="314" t="s">
        <v>425</v>
      </c>
      <c r="E258" s="307">
        <v>8</v>
      </c>
      <c r="F258" s="307">
        <v>0</v>
      </c>
      <c r="G258" s="307">
        <v>4</v>
      </c>
      <c r="H258" s="307">
        <v>0</v>
      </c>
      <c r="I258" s="307">
        <v>12</v>
      </c>
      <c r="J258" s="307">
        <v>13</v>
      </c>
      <c r="K258" s="307">
        <v>25</v>
      </c>
      <c r="L258" s="307">
        <v>1</v>
      </c>
      <c r="M258" s="308">
        <v>2</v>
      </c>
      <c r="N258" s="309">
        <v>0.4</v>
      </c>
      <c r="O258" s="309">
        <v>0.6</v>
      </c>
      <c r="P258" s="310" t="s">
        <v>545</v>
      </c>
    </row>
    <row r="259" spans="1:16" ht="23.25" thickBot="1" x14ac:dyDescent="0.3">
      <c r="A259" s="311"/>
      <c r="B259" s="328"/>
      <c r="C259" s="321" t="s">
        <v>427</v>
      </c>
      <c r="D259" s="314" t="s">
        <v>546</v>
      </c>
      <c r="E259" s="315">
        <v>8</v>
      </c>
      <c r="F259" s="315">
        <v>0</v>
      </c>
      <c r="G259" s="315">
        <v>4</v>
      </c>
      <c r="H259" s="315">
        <v>0</v>
      </c>
      <c r="I259" s="315">
        <v>12</v>
      </c>
      <c r="J259" s="315">
        <v>13</v>
      </c>
      <c r="K259" s="315">
        <v>25</v>
      </c>
      <c r="L259" s="315">
        <v>1</v>
      </c>
      <c r="M259" s="316"/>
      <c r="N259" s="317">
        <v>0.4</v>
      </c>
      <c r="O259" s="317">
        <v>0.6</v>
      </c>
      <c r="P259" s="318"/>
    </row>
    <row r="260" spans="1:16" ht="15.75" thickBot="1" x14ac:dyDescent="0.3">
      <c r="A260" s="345" t="s">
        <v>547</v>
      </c>
      <c r="B260" s="346" t="s">
        <v>548</v>
      </c>
      <c r="C260" s="347" t="s">
        <v>547</v>
      </c>
      <c r="D260" s="346" t="s">
        <v>549</v>
      </c>
      <c r="E260" s="348">
        <v>0</v>
      </c>
      <c r="F260" s="348">
        <v>24</v>
      </c>
      <c r="G260" s="348">
        <v>0</v>
      </c>
      <c r="H260" s="348">
        <v>0</v>
      </c>
      <c r="I260" s="348">
        <v>24</v>
      </c>
      <c r="J260" s="348">
        <v>26</v>
      </c>
      <c r="K260" s="348">
        <v>50</v>
      </c>
      <c r="L260" s="348">
        <v>2</v>
      </c>
      <c r="M260" s="346">
        <v>2</v>
      </c>
      <c r="N260" s="349">
        <v>0.4</v>
      </c>
      <c r="O260" s="349">
        <v>0.6</v>
      </c>
      <c r="P260" s="350" t="s">
        <v>550</v>
      </c>
    </row>
    <row r="261" spans="1:16" ht="23.25" thickBot="1" x14ac:dyDescent="0.3">
      <c r="A261" s="345" t="s">
        <v>444</v>
      </c>
      <c r="B261" s="346" t="s">
        <v>551</v>
      </c>
      <c r="C261" s="347" t="s">
        <v>444</v>
      </c>
      <c r="D261" s="346" t="s">
        <v>551</v>
      </c>
      <c r="E261" s="348">
        <v>0</v>
      </c>
      <c r="F261" s="348">
        <v>24</v>
      </c>
      <c r="G261" s="348">
        <v>0</v>
      </c>
      <c r="H261" s="348">
        <v>0</v>
      </c>
      <c r="I261" s="348">
        <v>24</v>
      </c>
      <c r="J261" s="348">
        <v>26</v>
      </c>
      <c r="K261" s="348">
        <v>50</v>
      </c>
      <c r="L261" s="348">
        <v>2</v>
      </c>
      <c r="M261" s="346">
        <v>2</v>
      </c>
      <c r="N261" s="349">
        <v>0.4</v>
      </c>
      <c r="O261" s="349">
        <v>0.6</v>
      </c>
      <c r="P261" s="350" t="s">
        <v>552</v>
      </c>
    </row>
    <row r="262" spans="1:16" ht="23.25" thickBot="1" x14ac:dyDescent="0.3">
      <c r="A262" s="351" t="s">
        <v>553</v>
      </c>
      <c r="B262" s="314" t="s">
        <v>554</v>
      </c>
      <c r="C262" s="329" t="s">
        <v>553</v>
      </c>
      <c r="D262" s="314" t="s">
        <v>554</v>
      </c>
      <c r="E262" s="324">
        <v>0</v>
      </c>
      <c r="F262" s="324">
        <v>12</v>
      </c>
      <c r="G262" s="324">
        <v>0</v>
      </c>
      <c r="H262" s="324">
        <v>0</v>
      </c>
      <c r="I262" s="324">
        <v>12</v>
      </c>
      <c r="J262" s="324">
        <v>13</v>
      </c>
      <c r="K262" s="324">
        <v>25</v>
      </c>
      <c r="L262" s="324">
        <v>1</v>
      </c>
      <c r="M262" s="352">
        <v>1</v>
      </c>
      <c r="N262" s="325">
        <v>0.4</v>
      </c>
      <c r="O262" s="325">
        <v>0.6</v>
      </c>
      <c r="P262" s="352" t="s">
        <v>555</v>
      </c>
    </row>
    <row r="263" spans="1:16" ht="15.75" thickBot="1" x14ac:dyDescent="0.3">
      <c r="A263" s="301" t="s">
        <v>67</v>
      </c>
      <c r="B263" s="302"/>
      <c r="C263" s="302"/>
      <c r="D263" s="302"/>
      <c r="E263" s="302"/>
      <c r="F263" s="302"/>
      <c r="G263" s="302"/>
      <c r="H263" s="302"/>
      <c r="I263" s="302"/>
      <c r="J263" s="302"/>
      <c r="K263" s="302"/>
      <c r="L263" s="302"/>
      <c r="M263" s="302"/>
      <c r="N263" s="302"/>
      <c r="O263" s="302"/>
      <c r="P263" s="302"/>
    </row>
    <row r="264" spans="1:16" ht="32.25" customHeight="1" thickBot="1" x14ac:dyDescent="0.3">
      <c r="A264" s="353" t="s">
        <v>556</v>
      </c>
      <c r="B264" s="306" t="s">
        <v>557</v>
      </c>
      <c r="C264" s="354" t="s">
        <v>556</v>
      </c>
      <c r="D264" s="306" t="s">
        <v>557</v>
      </c>
      <c r="E264" s="346">
        <v>12</v>
      </c>
      <c r="F264" s="346">
        <v>0</v>
      </c>
      <c r="G264" s="346">
        <v>0</v>
      </c>
      <c r="H264" s="346">
        <v>0</v>
      </c>
      <c r="I264" s="346">
        <v>12</v>
      </c>
      <c r="J264" s="346">
        <v>13</v>
      </c>
      <c r="K264" s="346">
        <v>25</v>
      </c>
      <c r="L264" s="346">
        <v>1</v>
      </c>
      <c r="M264" s="346">
        <v>1</v>
      </c>
      <c r="N264" s="349">
        <v>0.4</v>
      </c>
      <c r="O264" s="349">
        <v>0.6</v>
      </c>
      <c r="P264" s="346" t="s">
        <v>558</v>
      </c>
    </row>
    <row r="265" spans="1:16" ht="15.75" thickBot="1" x14ac:dyDescent="0.3">
      <c r="A265" s="347" t="s">
        <v>378</v>
      </c>
      <c r="B265" s="347" t="s">
        <v>559</v>
      </c>
      <c r="C265" s="347" t="s">
        <v>378</v>
      </c>
      <c r="D265" s="353" t="s">
        <v>559</v>
      </c>
      <c r="E265" s="346">
        <v>0</v>
      </c>
      <c r="F265" s="346">
        <v>0</v>
      </c>
      <c r="G265" s="346">
        <v>0</v>
      </c>
      <c r="H265" s="346">
        <v>0</v>
      </c>
      <c r="I265" s="346">
        <v>48</v>
      </c>
      <c r="J265" s="346">
        <v>52</v>
      </c>
      <c r="K265" s="346">
        <v>100</v>
      </c>
      <c r="L265" s="346">
        <v>4</v>
      </c>
      <c r="M265" s="346">
        <v>4</v>
      </c>
      <c r="N265" s="349"/>
      <c r="O265" s="349"/>
      <c r="P265" s="346"/>
    </row>
    <row r="266" spans="1:16" ht="12.75" customHeight="1" thickBot="1" x14ac:dyDescent="0.3">
      <c r="A266" s="355" t="s">
        <v>319</v>
      </c>
      <c r="B266" s="355"/>
      <c r="C266" s="355"/>
      <c r="D266" s="356"/>
      <c r="E266" s="357">
        <f>SUM(E264,E256:E262,E253:E254,E246:E251)</f>
        <v>184</v>
      </c>
      <c r="F266" s="357">
        <f t="shared" ref="F266:L266" si="7">SUM(F264:F265,F256:F262,F253:F254,F246:F251)</f>
        <v>78</v>
      </c>
      <c r="G266" s="357">
        <f t="shared" si="7"/>
        <v>46</v>
      </c>
      <c r="H266" s="357">
        <f t="shared" si="7"/>
        <v>4</v>
      </c>
      <c r="I266" s="357">
        <f t="shared" si="7"/>
        <v>360</v>
      </c>
      <c r="J266" s="357">
        <f t="shared" si="7"/>
        <v>390</v>
      </c>
      <c r="K266" s="357">
        <f t="shared" si="7"/>
        <v>750</v>
      </c>
      <c r="L266" s="358">
        <f t="shared" si="7"/>
        <v>30</v>
      </c>
      <c r="M266" s="356"/>
      <c r="N266" s="357"/>
      <c r="O266" s="357"/>
      <c r="P266" s="357"/>
    </row>
    <row r="267" spans="1:16" x14ac:dyDescent="0.25">
      <c r="B267" t="s">
        <v>560</v>
      </c>
      <c r="P267"/>
    </row>
    <row r="268" spans="1:16" ht="15.75" thickBot="1" x14ac:dyDescent="0.3">
      <c r="P268"/>
    </row>
    <row r="269" spans="1:16" x14ac:dyDescent="0.25">
      <c r="A269" s="359"/>
      <c r="B269" s="360" t="s">
        <v>248</v>
      </c>
      <c r="C269" s="360"/>
      <c r="D269" s="360"/>
      <c r="E269" s="360" t="s">
        <v>249</v>
      </c>
      <c r="F269" s="360"/>
      <c r="G269" s="360"/>
      <c r="H269" s="360"/>
      <c r="I269" s="360"/>
      <c r="J269" s="360"/>
      <c r="K269" s="360"/>
      <c r="L269" s="295" t="s">
        <v>250</v>
      </c>
      <c r="M269" s="360" t="s">
        <v>251</v>
      </c>
      <c r="N269" s="294" t="s">
        <v>11</v>
      </c>
      <c r="O269" s="294"/>
      <c r="P269" s="360" t="s">
        <v>12</v>
      </c>
    </row>
    <row r="270" spans="1:16" ht="24.75" thickBot="1" x14ac:dyDescent="0.3">
      <c r="A270" s="361" t="s">
        <v>252</v>
      </c>
      <c r="B270" s="362" t="s">
        <v>253</v>
      </c>
      <c r="C270" s="362" t="s">
        <v>254</v>
      </c>
      <c r="D270" s="362" t="s">
        <v>16</v>
      </c>
      <c r="E270" s="362" t="s">
        <v>255</v>
      </c>
      <c r="F270" s="362" t="s">
        <v>18</v>
      </c>
      <c r="G270" s="362" t="s">
        <v>19</v>
      </c>
      <c r="H270" s="362" t="s">
        <v>20</v>
      </c>
      <c r="I270" s="362" t="s">
        <v>21</v>
      </c>
      <c r="J270" s="362" t="s">
        <v>22</v>
      </c>
      <c r="K270" s="362" t="s">
        <v>23</v>
      </c>
      <c r="L270" s="298"/>
      <c r="M270" s="363"/>
      <c r="N270" s="364" t="s">
        <v>24</v>
      </c>
      <c r="O270" s="364" t="s">
        <v>25</v>
      </c>
      <c r="P270" s="363"/>
    </row>
    <row r="271" spans="1:16" ht="15.75" thickBot="1" x14ac:dyDescent="0.3">
      <c r="A271" s="365" t="s">
        <v>26</v>
      </c>
      <c r="B271" s="366"/>
      <c r="C271" s="366"/>
      <c r="D271" s="366"/>
      <c r="E271" s="366"/>
      <c r="F271" s="366"/>
      <c r="G271" s="366"/>
      <c r="H271" s="366"/>
      <c r="I271" s="366"/>
      <c r="J271" s="366"/>
      <c r="K271" s="366"/>
      <c r="L271" s="366"/>
      <c r="M271" s="366"/>
      <c r="N271" s="366"/>
      <c r="O271" s="366"/>
      <c r="P271" s="366"/>
    </row>
    <row r="272" spans="1:16" x14ac:dyDescent="0.25">
      <c r="A272" s="367"/>
      <c r="B272" s="368" t="s">
        <v>561</v>
      </c>
      <c r="C272" s="369" t="s">
        <v>562</v>
      </c>
      <c r="D272" s="369" t="s">
        <v>563</v>
      </c>
      <c r="E272" s="370">
        <v>8</v>
      </c>
      <c r="F272" s="370">
        <v>0</v>
      </c>
      <c r="G272" s="370">
        <v>4</v>
      </c>
      <c r="H272" s="370">
        <v>0</v>
      </c>
      <c r="I272" s="370">
        <v>12</v>
      </c>
      <c r="J272" s="370">
        <v>13</v>
      </c>
      <c r="K272" s="370">
        <v>25</v>
      </c>
      <c r="L272" s="370">
        <v>1</v>
      </c>
      <c r="M272" s="368">
        <v>4</v>
      </c>
      <c r="N272" s="371">
        <v>0.4</v>
      </c>
      <c r="O272" s="371">
        <v>0.6</v>
      </c>
      <c r="P272" s="372" t="s">
        <v>564</v>
      </c>
    </row>
    <row r="273" spans="1:16" ht="24.75" thickBot="1" x14ac:dyDescent="0.3">
      <c r="A273" s="367"/>
      <c r="B273" s="373"/>
      <c r="C273" s="374" t="s">
        <v>565</v>
      </c>
      <c r="D273" s="375" t="s">
        <v>566</v>
      </c>
      <c r="E273" s="376">
        <v>14</v>
      </c>
      <c r="F273" s="376">
        <v>0</v>
      </c>
      <c r="G273" s="376">
        <v>10</v>
      </c>
      <c r="H273" s="376">
        <v>0</v>
      </c>
      <c r="I273" s="376">
        <v>24</v>
      </c>
      <c r="J273" s="376">
        <v>26</v>
      </c>
      <c r="K273" s="376">
        <v>50</v>
      </c>
      <c r="L273" s="376">
        <v>2</v>
      </c>
      <c r="M273" s="373"/>
      <c r="N273" s="377">
        <v>0.4</v>
      </c>
      <c r="O273" s="377">
        <v>0.6</v>
      </c>
      <c r="P273" s="378"/>
    </row>
    <row r="274" spans="1:16" ht="15.75" thickBot="1" x14ac:dyDescent="0.3">
      <c r="A274" s="379"/>
      <c r="B274" s="380"/>
      <c r="C274" s="381" t="s">
        <v>567</v>
      </c>
      <c r="D274" s="382" t="s">
        <v>568</v>
      </c>
      <c r="E274" s="383">
        <v>8</v>
      </c>
      <c r="F274" s="383">
        <v>0</v>
      </c>
      <c r="G274" s="383">
        <v>4</v>
      </c>
      <c r="H274" s="383">
        <v>0</v>
      </c>
      <c r="I274" s="383">
        <v>12</v>
      </c>
      <c r="J274" s="383">
        <v>13</v>
      </c>
      <c r="K274" s="383">
        <v>25</v>
      </c>
      <c r="L274" s="383">
        <v>1</v>
      </c>
      <c r="M274" s="380"/>
      <c r="N274" s="384">
        <v>0.4</v>
      </c>
      <c r="O274" s="384">
        <v>0.6</v>
      </c>
      <c r="P274" s="385"/>
    </row>
    <row r="275" spans="1:16" x14ac:dyDescent="0.25">
      <c r="A275" s="373" t="s">
        <v>569</v>
      </c>
      <c r="B275" s="373" t="s">
        <v>570</v>
      </c>
      <c r="C275" s="386" t="s">
        <v>571</v>
      </c>
      <c r="D275" s="290" t="s">
        <v>572</v>
      </c>
      <c r="E275" s="387">
        <v>14</v>
      </c>
      <c r="F275" s="387"/>
      <c r="G275" s="387">
        <v>10</v>
      </c>
      <c r="H275" s="387">
        <v>0</v>
      </c>
      <c r="I275" s="387">
        <v>24</v>
      </c>
      <c r="J275" s="387">
        <v>26</v>
      </c>
      <c r="K275" s="387">
        <v>50</v>
      </c>
      <c r="L275" s="387">
        <v>2</v>
      </c>
      <c r="M275" s="373">
        <v>4</v>
      </c>
      <c r="N275" s="388">
        <v>0.4</v>
      </c>
      <c r="O275" s="388">
        <v>0.6</v>
      </c>
      <c r="P275" s="368" t="s">
        <v>573</v>
      </c>
    </row>
    <row r="276" spans="1:16" ht="15.75" thickBot="1" x14ac:dyDescent="0.3">
      <c r="A276" s="373"/>
      <c r="B276" s="373"/>
      <c r="C276" s="386" t="s">
        <v>574</v>
      </c>
      <c r="D276" s="290" t="s">
        <v>575</v>
      </c>
      <c r="E276" s="387">
        <v>16</v>
      </c>
      <c r="F276" s="387">
        <v>4</v>
      </c>
      <c r="G276" s="387">
        <v>4</v>
      </c>
      <c r="H276" s="387"/>
      <c r="I276" s="387">
        <v>24</v>
      </c>
      <c r="J276" s="387">
        <v>26</v>
      </c>
      <c r="K276" s="387">
        <v>50</v>
      </c>
      <c r="L276" s="387">
        <v>2</v>
      </c>
      <c r="M276" s="373"/>
      <c r="N276" s="388">
        <v>0.4</v>
      </c>
      <c r="O276" s="388">
        <v>0.6</v>
      </c>
      <c r="P276" s="373"/>
    </row>
    <row r="277" spans="1:16" x14ac:dyDescent="0.25">
      <c r="A277" s="389" t="s">
        <v>576</v>
      </c>
      <c r="B277" s="368" t="s">
        <v>577</v>
      </c>
      <c r="C277" s="386" t="s">
        <v>578</v>
      </c>
      <c r="D277" s="390" t="s">
        <v>579</v>
      </c>
      <c r="E277" s="391">
        <v>24</v>
      </c>
      <c r="F277" s="391">
        <v>0</v>
      </c>
      <c r="G277" s="391">
        <v>0</v>
      </c>
      <c r="H277" s="391">
        <v>0</v>
      </c>
      <c r="I277" s="391">
        <v>24</v>
      </c>
      <c r="J277" s="391">
        <v>26</v>
      </c>
      <c r="K277" s="391">
        <v>50</v>
      </c>
      <c r="L277" s="391">
        <v>2</v>
      </c>
      <c r="M277" s="368">
        <v>4</v>
      </c>
      <c r="N277" s="392">
        <v>0.4</v>
      </c>
      <c r="O277" s="392">
        <v>0.6</v>
      </c>
      <c r="P277" s="393" t="s">
        <v>580</v>
      </c>
    </row>
    <row r="278" spans="1:16" x14ac:dyDescent="0.25">
      <c r="A278" s="367"/>
      <c r="B278" s="373"/>
      <c r="C278" s="386" t="s">
        <v>581</v>
      </c>
      <c r="D278" s="290" t="s">
        <v>582</v>
      </c>
      <c r="E278" s="387">
        <v>12</v>
      </c>
      <c r="F278" s="387">
        <v>0</v>
      </c>
      <c r="G278" s="387">
        <v>0</v>
      </c>
      <c r="H278" s="387">
        <v>0</v>
      </c>
      <c r="I278" s="387">
        <v>12</v>
      </c>
      <c r="J278" s="387">
        <v>13</v>
      </c>
      <c r="K278" s="387">
        <v>25</v>
      </c>
      <c r="L278" s="387">
        <v>1</v>
      </c>
      <c r="M278" s="373"/>
      <c r="N278" s="388">
        <v>0.4</v>
      </c>
      <c r="O278" s="388">
        <v>0.6</v>
      </c>
      <c r="P278" s="394"/>
    </row>
    <row r="279" spans="1:16" ht="15.75" thickBot="1" x14ac:dyDescent="0.3">
      <c r="A279" s="379"/>
      <c r="B279" s="380"/>
      <c r="C279" s="386" t="s">
        <v>583</v>
      </c>
      <c r="D279" s="374" t="s">
        <v>584</v>
      </c>
      <c r="E279" s="395">
        <v>12</v>
      </c>
      <c r="F279" s="395">
        <v>0</v>
      </c>
      <c r="G279" s="395">
        <v>0</v>
      </c>
      <c r="H279" s="395">
        <v>0</v>
      </c>
      <c r="I279" s="395">
        <v>12</v>
      </c>
      <c r="J279" s="395">
        <v>13</v>
      </c>
      <c r="K279" s="395">
        <v>25</v>
      </c>
      <c r="L279" s="395">
        <v>1</v>
      </c>
      <c r="M279" s="380"/>
      <c r="N279" s="396">
        <v>0.4</v>
      </c>
      <c r="O279" s="396">
        <v>0.6</v>
      </c>
      <c r="P279" s="397"/>
    </row>
    <row r="280" spans="1:16" x14ac:dyDescent="0.25">
      <c r="A280" s="389" t="s">
        <v>585</v>
      </c>
      <c r="B280" s="368" t="s">
        <v>586</v>
      </c>
      <c r="C280" s="386" t="s">
        <v>587</v>
      </c>
      <c r="D280" s="390" t="s">
        <v>588</v>
      </c>
      <c r="E280" s="391">
        <v>24</v>
      </c>
      <c r="F280" s="391">
        <v>0</v>
      </c>
      <c r="G280" s="391">
        <v>0</v>
      </c>
      <c r="H280" s="391">
        <v>0</v>
      </c>
      <c r="I280" s="391">
        <v>24</v>
      </c>
      <c r="J280" s="391">
        <v>26</v>
      </c>
      <c r="K280" s="391">
        <v>50</v>
      </c>
      <c r="L280" s="391">
        <v>2</v>
      </c>
      <c r="M280" s="368">
        <v>5</v>
      </c>
      <c r="N280" s="392">
        <v>0.4</v>
      </c>
      <c r="O280" s="392">
        <v>0.6</v>
      </c>
      <c r="P280" s="393" t="s">
        <v>589</v>
      </c>
    </row>
    <row r="281" spans="1:16" x14ac:dyDescent="0.25">
      <c r="A281" s="367"/>
      <c r="B281" s="373"/>
      <c r="C281" s="386" t="s">
        <v>590</v>
      </c>
      <c r="D281" s="290" t="s">
        <v>591</v>
      </c>
      <c r="E281" s="387">
        <v>14</v>
      </c>
      <c r="F281" s="387">
        <v>0</v>
      </c>
      <c r="G281" s="387">
        <v>10</v>
      </c>
      <c r="H281" s="387">
        <v>0</v>
      </c>
      <c r="I281" s="387">
        <v>24</v>
      </c>
      <c r="J281" s="387">
        <v>26</v>
      </c>
      <c r="K281" s="387">
        <v>50</v>
      </c>
      <c r="L281" s="387">
        <v>2</v>
      </c>
      <c r="M281" s="373"/>
      <c r="N281" s="388">
        <v>0.4</v>
      </c>
      <c r="O281" s="388">
        <v>0.6</v>
      </c>
      <c r="P281" s="394"/>
    </row>
    <row r="282" spans="1:16" ht="15.75" thickBot="1" x14ac:dyDescent="0.3">
      <c r="A282" s="379"/>
      <c r="B282" s="380"/>
      <c r="C282" s="398" t="s">
        <v>592</v>
      </c>
      <c r="D282" s="374" t="s">
        <v>593</v>
      </c>
      <c r="E282" s="395">
        <v>12</v>
      </c>
      <c r="F282" s="395">
        <v>0</v>
      </c>
      <c r="G282" s="395">
        <v>0</v>
      </c>
      <c r="H282" s="395">
        <v>0</v>
      </c>
      <c r="I282" s="395">
        <v>12</v>
      </c>
      <c r="J282" s="395">
        <v>13</v>
      </c>
      <c r="K282" s="395">
        <v>25</v>
      </c>
      <c r="L282" s="395">
        <v>1</v>
      </c>
      <c r="M282" s="380"/>
      <c r="N282" s="396">
        <v>0.4</v>
      </c>
      <c r="O282" s="396">
        <v>0.6</v>
      </c>
      <c r="P282" s="397"/>
    </row>
    <row r="283" spans="1:16" ht="15.75" thickBot="1" x14ac:dyDescent="0.3">
      <c r="A283" s="389" t="s">
        <v>594</v>
      </c>
      <c r="B283" s="368" t="s">
        <v>595</v>
      </c>
      <c r="C283" s="381" t="s">
        <v>596</v>
      </c>
      <c r="D283" s="382" t="s">
        <v>597</v>
      </c>
      <c r="E283" s="383">
        <v>20</v>
      </c>
      <c r="F283" s="383">
        <v>4</v>
      </c>
      <c r="G283" s="383">
        <v>0</v>
      </c>
      <c r="H283" s="383">
        <v>0</v>
      </c>
      <c r="I283" s="383">
        <v>24</v>
      </c>
      <c r="J283" s="383">
        <v>26</v>
      </c>
      <c r="K283" s="383">
        <v>50</v>
      </c>
      <c r="L283" s="383">
        <v>2</v>
      </c>
      <c r="M283" s="368">
        <v>4</v>
      </c>
      <c r="N283" s="384">
        <v>0.4</v>
      </c>
      <c r="O283" s="384">
        <v>0.6</v>
      </c>
      <c r="P283" s="393" t="s">
        <v>598</v>
      </c>
    </row>
    <row r="284" spans="1:16" ht="15.75" thickBot="1" x14ac:dyDescent="0.3">
      <c r="A284" s="379"/>
      <c r="B284" s="380"/>
      <c r="C284" s="398" t="s">
        <v>599</v>
      </c>
      <c r="D284" s="374" t="s">
        <v>600</v>
      </c>
      <c r="E284" s="395">
        <v>20</v>
      </c>
      <c r="F284" s="395">
        <v>4</v>
      </c>
      <c r="G284" s="395">
        <v>0</v>
      </c>
      <c r="H284" s="395">
        <v>0</v>
      </c>
      <c r="I284" s="395">
        <v>24</v>
      </c>
      <c r="J284" s="395">
        <v>26</v>
      </c>
      <c r="K284" s="395">
        <v>50</v>
      </c>
      <c r="L284" s="395">
        <v>2</v>
      </c>
      <c r="M284" s="380"/>
      <c r="N284" s="396">
        <v>0.4</v>
      </c>
      <c r="O284" s="396">
        <v>0.6</v>
      </c>
      <c r="P284" s="397"/>
    </row>
    <row r="285" spans="1:16" ht="15.75" thickBot="1" x14ac:dyDescent="0.3">
      <c r="A285" s="365" t="s">
        <v>406</v>
      </c>
      <c r="B285" s="366"/>
      <c r="C285" s="366"/>
      <c r="D285" s="366"/>
      <c r="E285" s="366"/>
      <c r="F285" s="366"/>
      <c r="G285" s="366"/>
      <c r="H285" s="366"/>
      <c r="I285" s="366"/>
      <c r="J285" s="366"/>
      <c r="K285" s="366"/>
      <c r="L285" s="366"/>
      <c r="M285" s="366"/>
      <c r="N285" s="366"/>
      <c r="O285" s="366"/>
      <c r="P285" s="366"/>
    </row>
    <row r="286" spans="1:16" x14ac:dyDescent="0.25">
      <c r="A286" s="399" t="s">
        <v>601</v>
      </c>
      <c r="B286" s="400" t="s">
        <v>602</v>
      </c>
      <c r="C286" s="369" t="s">
        <v>603</v>
      </c>
      <c r="D286" s="369" t="s">
        <v>604</v>
      </c>
      <c r="E286" s="370">
        <v>16</v>
      </c>
      <c r="F286" s="370">
        <v>0</v>
      </c>
      <c r="G286" s="370">
        <v>8</v>
      </c>
      <c r="H286" s="370">
        <v>0</v>
      </c>
      <c r="I286" s="370">
        <v>24</v>
      </c>
      <c r="J286" s="370">
        <v>26</v>
      </c>
      <c r="K286" s="370">
        <v>50</v>
      </c>
      <c r="L286" s="370">
        <v>2</v>
      </c>
      <c r="M286" s="368">
        <v>4</v>
      </c>
      <c r="N286" s="371">
        <v>0.4</v>
      </c>
      <c r="O286" s="371">
        <v>0.6</v>
      </c>
      <c r="P286" s="372" t="s">
        <v>545</v>
      </c>
    </row>
    <row r="287" spans="1:16" ht="15.75" thickBot="1" x14ac:dyDescent="0.3">
      <c r="A287" s="401"/>
      <c r="B287" s="402"/>
      <c r="C287" s="403" t="s">
        <v>605</v>
      </c>
      <c r="D287" s="375" t="s">
        <v>606</v>
      </c>
      <c r="E287" s="376">
        <v>16</v>
      </c>
      <c r="F287" s="376">
        <v>0</v>
      </c>
      <c r="G287" s="376">
        <v>8</v>
      </c>
      <c r="H287" s="376">
        <v>0</v>
      </c>
      <c r="I287" s="376">
        <v>24</v>
      </c>
      <c r="J287" s="376">
        <v>26</v>
      </c>
      <c r="K287" s="376">
        <v>50</v>
      </c>
      <c r="L287" s="376">
        <v>2</v>
      </c>
      <c r="M287" s="380"/>
      <c r="N287" s="377">
        <v>0.4</v>
      </c>
      <c r="O287" s="377">
        <v>0.6</v>
      </c>
      <c r="P287" s="378"/>
    </row>
    <row r="288" spans="1:16" ht="15.75" thickBot="1" x14ac:dyDescent="0.3">
      <c r="A288" s="404" t="s">
        <v>62</v>
      </c>
      <c r="B288" s="405"/>
      <c r="C288" s="405"/>
      <c r="D288" s="405"/>
      <c r="E288" s="405"/>
      <c r="F288" s="405"/>
      <c r="G288" s="405"/>
      <c r="H288" s="405"/>
      <c r="I288" s="405"/>
      <c r="J288" s="405"/>
      <c r="K288" s="405"/>
      <c r="L288" s="405"/>
      <c r="M288" s="405"/>
      <c r="N288" s="405"/>
      <c r="O288" s="405"/>
      <c r="P288" s="405"/>
    </row>
    <row r="289" spans="1:16" x14ac:dyDescent="0.25">
      <c r="A289" s="406" t="s">
        <v>607</v>
      </c>
      <c r="B289" s="400" t="s">
        <v>608</v>
      </c>
      <c r="C289" s="369" t="s">
        <v>609</v>
      </c>
      <c r="D289" s="369" t="s">
        <v>610</v>
      </c>
      <c r="E289" s="370">
        <v>12</v>
      </c>
      <c r="F289" s="370">
        <v>0</v>
      </c>
      <c r="G289" s="370">
        <v>0</v>
      </c>
      <c r="H289" s="370">
        <v>0</v>
      </c>
      <c r="I289" s="370">
        <v>12</v>
      </c>
      <c r="J289" s="370">
        <v>13</v>
      </c>
      <c r="K289" s="370">
        <v>25</v>
      </c>
      <c r="L289" s="370">
        <v>1</v>
      </c>
      <c r="M289" s="368">
        <v>5</v>
      </c>
      <c r="N289" s="371">
        <v>0.4</v>
      </c>
      <c r="O289" s="371">
        <v>0.6</v>
      </c>
      <c r="P289" s="400" t="s">
        <v>611</v>
      </c>
    </row>
    <row r="290" spans="1:16" x14ac:dyDescent="0.25">
      <c r="A290" s="407"/>
      <c r="B290" s="373"/>
      <c r="C290" s="290" t="s">
        <v>612</v>
      </c>
      <c r="D290" s="408" t="s">
        <v>613</v>
      </c>
      <c r="E290" s="387">
        <v>18</v>
      </c>
      <c r="F290" s="387">
        <v>6</v>
      </c>
      <c r="G290" s="387">
        <v>0</v>
      </c>
      <c r="H290" s="387">
        <v>0</v>
      </c>
      <c r="I290" s="387">
        <v>24</v>
      </c>
      <c r="J290" s="387">
        <v>26</v>
      </c>
      <c r="K290" s="387">
        <v>50</v>
      </c>
      <c r="L290" s="387">
        <v>2</v>
      </c>
      <c r="M290" s="373"/>
      <c r="N290" s="388">
        <v>0.4</v>
      </c>
      <c r="O290" s="388">
        <v>0.6</v>
      </c>
      <c r="P290" s="373"/>
    </row>
    <row r="291" spans="1:16" ht="15.75" thickBot="1" x14ac:dyDescent="0.3">
      <c r="A291" s="409"/>
      <c r="B291" s="402"/>
      <c r="C291" s="290" t="s">
        <v>614</v>
      </c>
      <c r="D291" s="375" t="s">
        <v>615</v>
      </c>
      <c r="E291" s="376">
        <v>18</v>
      </c>
      <c r="F291" s="376">
        <v>6</v>
      </c>
      <c r="G291" s="376">
        <v>0</v>
      </c>
      <c r="H291" s="376">
        <v>0</v>
      </c>
      <c r="I291" s="376">
        <v>24</v>
      </c>
      <c r="J291" s="376">
        <v>26</v>
      </c>
      <c r="K291" s="376">
        <v>50</v>
      </c>
      <c r="L291" s="376">
        <v>2</v>
      </c>
      <c r="M291" s="380"/>
      <c r="N291" s="377">
        <v>0.4</v>
      </c>
      <c r="O291" s="377">
        <v>0.6</v>
      </c>
      <c r="P291" s="402"/>
    </row>
    <row r="292" spans="1:16" ht="15.75" thickBot="1" x14ac:dyDescent="0.3">
      <c r="A292" s="410" t="s">
        <v>381</v>
      </c>
      <c r="B292" s="410"/>
      <c r="C292" s="410"/>
      <c r="D292" s="411"/>
      <c r="E292" s="412">
        <f>SUM(E289:E291,E286:E287,E272:E284)</f>
        <v>278</v>
      </c>
      <c r="F292" s="412">
        <f t="shared" ref="F292:L292" si="8">SUM(F289:F291,F286:F287,F272:F284)</f>
        <v>24</v>
      </c>
      <c r="G292" s="412">
        <f t="shared" si="8"/>
        <v>58</v>
      </c>
      <c r="H292" s="412">
        <f t="shared" si="8"/>
        <v>0</v>
      </c>
      <c r="I292" s="412">
        <f t="shared" si="8"/>
        <v>360</v>
      </c>
      <c r="J292" s="412">
        <f t="shared" si="8"/>
        <v>390</v>
      </c>
      <c r="K292" s="412">
        <f t="shared" si="8"/>
        <v>750</v>
      </c>
      <c r="L292" s="413">
        <f t="shared" si="8"/>
        <v>30</v>
      </c>
      <c r="M292" s="411"/>
      <c r="N292" s="412"/>
      <c r="O292" s="412"/>
      <c r="P292" s="412"/>
    </row>
    <row r="298" spans="1:16" ht="12" customHeight="1" x14ac:dyDescent="0.25">
      <c r="A298" s="95"/>
      <c r="B298" s="1"/>
      <c r="C298" s="1"/>
      <c r="D298" s="1" t="s">
        <v>0</v>
      </c>
      <c r="E298" s="95"/>
      <c r="F298" s="95"/>
      <c r="G298" s="95"/>
      <c r="H298" s="96"/>
      <c r="I298" s="97"/>
      <c r="J298" s="95"/>
      <c r="K298" s="96"/>
      <c r="L298" s="96"/>
      <c r="M298" s="96"/>
      <c r="N298" s="96"/>
      <c r="O298" s="96"/>
      <c r="P298" s="95"/>
    </row>
    <row r="299" spans="1:16" ht="12" customHeight="1" x14ac:dyDescent="0.25">
      <c r="A299" s="95"/>
      <c r="B299" s="2"/>
      <c r="C299" s="1"/>
      <c r="D299" s="1" t="s">
        <v>1</v>
      </c>
      <c r="E299" s="95"/>
      <c r="F299" s="95"/>
      <c r="G299" s="95"/>
      <c r="H299" s="96"/>
      <c r="I299" s="97"/>
      <c r="J299" s="95"/>
      <c r="K299" s="96"/>
      <c r="L299" s="96"/>
      <c r="M299" s="96"/>
      <c r="N299" s="96"/>
      <c r="O299" s="96"/>
      <c r="P299" s="95"/>
    </row>
    <row r="300" spans="1:16" ht="12" customHeight="1" x14ac:dyDescent="0.25">
      <c r="A300" s="96"/>
      <c r="B300" s="1"/>
      <c r="C300" s="1"/>
      <c r="D300" s="1" t="s">
        <v>616</v>
      </c>
      <c r="E300" s="96"/>
      <c r="F300" s="96"/>
      <c r="G300" s="96"/>
      <c r="H300" s="96"/>
      <c r="I300" s="1"/>
      <c r="J300" s="96"/>
      <c r="K300" s="96"/>
      <c r="L300" s="96"/>
      <c r="M300" s="96"/>
      <c r="N300" s="96"/>
      <c r="O300" s="96"/>
      <c r="P300" s="414"/>
    </row>
    <row r="301" spans="1:16" ht="12" customHeight="1" x14ac:dyDescent="0.25">
      <c r="A301" s="96"/>
      <c r="B301" s="1"/>
      <c r="C301" s="1"/>
      <c r="D301" s="1" t="s">
        <v>3</v>
      </c>
      <c r="E301" s="96"/>
      <c r="F301" s="96"/>
      <c r="G301" s="96"/>
      <c r="H301" s="96"/>
      <c r="I301" s="1"/>
      <c r="J301" s="96"/>
      <c r="K301" s="96"/>
      <c r="L301" s="96"/>
      <c r="M301" s="96"/>
      <c r="N301" s="96"/>
      <c r="O301" s="96"/>
      <c r="P301" s="96"/>
    </row>
    <row r="302" spans="1:16" ht="12" customHeight="1" x14ac:dyDescent="0.25">
      <c r="A302" s="96"/>
      <c r="B302" s="1"/>
      <c r="C302" s="1"/>
      <c r="D302" s="2" t="s">
        <v>617</v>
      </c>
      <c r="E302" s="96"/>
      <c r="F302" s="96"/>
      <c r="G302" s="96"/>
      <c r="H302" s="96"/>
      <c r="I302" s="1"/>
      <c r="J302" s="96"/>
      <c r="K302" s="96"/>
      <c r="L302" s="96"/>
      <c r="M302" s="96"/>
      <c r="N302" s="96"/>
      <c r="O302" s="96"/>
      <c r="P302" s="96"/>
    </row>
    <row r="303" spans="1:16" ht="12" customHeight="1" x14ac:dyDescent="0.25">
      <c r="A303" s="96"/>
      <c r="B303" s="1"/>
      <c r="C303" s="1"/>
      <c r="D303" s="1" t="s">
        <v>618</v>
      </c>
      <c r="E303" s="96"/>
      <c r="F303" s="96"/>
      <c r="G303" s="96"/>
      <c r="H303" s="96"/>
      <c r="I303" s="1"/>
      <c r="J303" s="96"/>
      <c r="K303" s="96"/>
      <c r="L303" s="96"/>
      <c r="M303" s="96"/>
      <c r="N303" s="96"/>
      <c r="O303" s="96"/>
      <c r="P303" s="96"/>
    </row>
    <row r="304" spans="1:16" ht="12" customHeight="1" thickBot="1" x14ac:dyDescent="0.3">
      <c r="A304" s="96"/>
      <c r="B304" s="1"/>
      <c r="C304" s="415"/>
      <c r="D304" s="97" t="s">
        <v>619</v>
      </c>
      <c r="E304" s="96"/>
      <c r="F304" s="96"/>
      <c r="G304" s="96"/>
      <c r="H304" s="416"/>
      <c r="I304" s="1"/>
      <c r="J304" s="96"/>
      <c r="K304" s="416"/>
      <c r="L304" s="416"/>
      <c r="M304" s="416"/>
      <c r="N304" s="416"/>
      <c r="O304" s="416"/>
      <c r="P304" s="96"/>
    </row>
    <row r="305" spans="1:16" x14ac:dyDescent="0.25">
      <c r="A305" s="417" t="s">
        <v>248</v>
      </c>
      <c r="B305" s="418"/>
      <c r="C305" s="418"/>
      <c r="D305" s="419"/>
      <c r="E305" s="420" t="s">
        <v>249</v>
      </c>
      <c r="F305" s="420"/>
      <c r="G305" s="420"/>
      <c r="H305" s="420"/>
      <c r="I305" s="420"/>
      <c r="J305" s="420"/>
      <c r="K305" s="420"/>
      <c r="L305" s="295" t="s">
        <v>250</v>
      </c>
      <c r="M305" s="295" t="s">
        <v>251</v>
      </c>
      <c r="N305" s="421" t="s">
        <v>11</v>
      </c>
      <c r="O305" s="421"/>
      <c r="P305" s="422" t="s">
        <v>12</v>
      </c>
    </row>
    <row r="306" spans="1:16" x14ac:dyDescent="0.25">
      <c r="A306" s="423" t="s">
        <v>252</v>
      </c>
      <c r="B306" s="424" t="s">
        <v>253</v>
      </c>
      <c r="C306" s="424" t="s">
        <v>254</v>
      </c>
      <c r="D306" s="425" t="s">
        <v>16</v>
      </c>
      <c r="E306" s="425" t="s">
        <v>255</v>
      </c>
      <c r="F306" s="425" t="s">
        <v>18</v>
      </c>
      <c r="G306" s="425" t="s">
        <v>19</v>
      </c>
      <c r="H306" s="425" t="s">
        <v>20</v>
      </c>
      <c r="I306" s="426" t="s">
        <v>21</v>
      </c>
      <c r="J306" s="425" t="s">
        <v>22</v>
      </c>
      <c r="K306" s="425" t="s">
        <v>23</v>
      </c>
      <c r="L306" s="427"/>
      <c r="M306" s="427"/>
      <c r="N306" s="428" t="s">
        <v>24</v>
      </c>
      <c r="O306" s="428" t="s">
        <v>25</v>
      </c>
      <c r="P306" s="429"/>
    </row>
    <row r="307" spans="1:16" x14ac:dyDescent="0.25">
      <c r="A307" s="430" t="s">
        <v>26</v>
      </c>
      <c r="B307" s="431"/>
      <c r="C307" s="431"/>
      <c r="D307" s="431"/>
      <c r="E307" s="431"/>
      <c r="F307" s="431"/>
      <c r="G307" s="431"/>
      <c r="H307" s="431"/>
      <c r="I307" s="431"/>
      <c r="J307" s="431"/>
      <c r="K307" s="431"/>
      <c r="L307" s="431"/>
      <c r="M307" s="431"/>
      <c r="N307" s="431"/>
      <c r="O307" s="431"/>
      <c r="P307" s="432"/>
    </row>
    <row r="308" spans="1:16" x14ac:dyDescent="0.25">
      <c r="A308" s="433" t="s">
        <v>620</v>
      </c>
      <c r="B308" s="434" t="s">
        <v>621</v>
      </c>
      <c r="C308" s="435" t="s">
        <v>622</v>
      </c>
      <c r="D308" s="436" t="s">
        <v>623</v>
      </c>
      <c r="E308" s="435">
        <v>14</v>
      </c>
      <c r="F308" s="435">
        <v>10</v>
      </c>
      <c r="G308" s="435">
        <v>0</v>
      </c>
      <c r="H308" s="435">
        <v>0</v>
      </c>
      <c r="I308" s="435">
        <v>24</v>
      </c>
      <c r="J308" s="435">
        <v>26</v>
      </c>
      <c r="K308" s="435">
        <v>50</v>
      </c>
      <c r="L308" s="435">
        <v>2</v>
      </c>
      <c r="M308" s="434">
        <v>5</v>
      </c>
      <c r="N308" s="437">
        <v>0.4</v>
      </c>
      <c r="O308" s="437">
        <v>0.6</v>
      </c>
      <c r="P308" s="438" t="s">
        <v>624</v>
      </c>
    </row>
    <row r="309" spans="1:16" x14ac:dyDescent="0.25">
      <c r="A309" s="433"/>
      <c r="B309" s="434"/>
      <c r="C309" s="435" t="s">
        <v>625</v>
      </c>
      <c r="D309" s="436" t="s">
        <v>626</v>
      </c>
      <c r="E309" s="435">
        <v>14</v>
      </c>
      <c r="F309" s="435">
        <v>10</v>
      </c>
      <c r="G309" s="435">
        <v>0</v>
      </c>
      <c r="H309" s="435">
        <v>0</v>
      </c>
      <c r="I309" s="435">
        <v>24</v>
      </c>
      <c r="J309" s="435">
        <v>26</v>
      </c>
      <c r="K309" s="435">
        <v>50</v>
      </c>
      <c r="L309" s="435">
        <v>2</v>
      </c>
      <c r="M309" s="434"/>
      <c r="N309" s="437">
        <v>0.4</v>
      </c>
      <c r="O309" s="437">
        <v>0.6</v>
      </c>
      <c r="P309" s="438"/>
    </row>
    <row r="310" spans="1:16" x14ac:dyDescent="0.25">
      <c r="A310" s="433"/>
      <c r="B310" s="434"/>
      <c r="C310" s="435" t="s">
        <v>627</v>
      </c>
      <c r="D310" s="436" t="s">
        <v>628</v>
      </c>
      <c r="E310" s="435">
        <v>12</v>
      </c>
      <c r="F310" s="435"/>
      <c r="G310" s="435">
        <v>0</v>
      </c>
      <c r="H310" s="435">
        <v>0</v>
      </c>
      <c r="I310" s="435">
        <v>12</v>
      </c>
      <c r="J310" s="435">
        <v>13</v>
      </c>
      <c r="K310" s="435">
        <v>25</v>
      </c>
      <c r="L310" s="435">
        <v>1</v>
      </c>
      <c r="M310" s="434"/>
      <c r="N310" s="437">
        <v>0.4</v>
      </c>
      <c r="O310" s="437">
        <v>0.6</v>
      </c>
      <c r="P310" s="438"/>
    </row>
    <row r="311" spans="1:16" x14ac:dyDescent="0.25">
      <c r="A311" s="433" t="s">
        <v>629</v>
      </c>
      <c r="B311" s="434" t="s">
        <v>630</v>
      </c>
      <c r="C311" s="435" t="s">
        <v>631</v>
      </c>
      <c r="D311" s="436" t="s">
        <v>632</v>
      </c>
      <c r="E311" s="435">
        <v>20</v>
      </c>
      <c r="F311" s="435">
        <v>4</v>
      </c>
      <c r="G311" s="435">
        <v>0</v>
      </c>
      <c r="H311" s="435">
        <v>0</v>
      </c>
      <c r="I311" s="435">
        <v>24</v>
      </c>
      <c r="J311" s="435">
        <v>26</v>
      </c>
      <c r="K311" s="435">
        <v>50</v>
      </c>
      <c r="L311" s="435">
        <v>2</v>
      </c>
      <c r="M311" s="434">
        <v>6</v>
      </c>
      <c r="N311" s="437">
        <v>0.4</v>
      </c>
      <c r="O311" s="437">
        <v>0.6</v>
      </c>
      <c r="P311" s="438" t="s">
        <v>633</v>
      </c>
    </row>
    <row r="312" spans="1:16" ht="22.5" x14ac:dyDescent="0.25">
      <c r="A312" s="433"/>
      <c r="B312" s="434"/>
      <c r="C312" s="435" t="s">
        <v>634</v>
      </c>
      <c r="D312" s="436" t="s">
        <v>635</v>
      </c>
      <c r="E312" s="435">
        <v>14</v>
      </c>
      <c r="F312" s="435">
        <v>10</v>
      </c>
      <c r="G312" s="435">
        <v>0</v>
      </c>
      <c r="H312" s="435">
        <v>0</v>
      </c>
      <c r="I312" s="435">
        <v>24</v>
      </c>
      <c r="J312" s="435">
        <v>26</v>
      </c>
      <c r="K312" s="435">
        <v>50</v>
      </c>
      <c r="L312" s="435">
        <v>2</v>
      </c>
      <c r="M312" s="434"/>
      <c r="N312" s="437">
        <v>0.4</v>
      </c>
      <c r="O312" s="437">
        <v>0.6</v>
      </c>
      <c r="P312" s="438"/>
    </row>
    <row r="313" spans="1:16" ht="22.5" x14ac:dyDescent="0.25">
      <c r="A313" s="433"/>
      <c r="B313" s="434"/>
      <c r="C313" s="435" t="s">
        <v>636</v>
      </c>
      <c r="D313" s="436" t="s">
        <v>637</v>
      </c>
      <c r="E313" s="435">
        <v>14</v>
      </c>
      <c r="F313" s="435">
        <v>10</v>
      </c>
      <c r="G313" s="435">
        <v>0</v>
      </c>
      <c r="H313" s="435">
        <v>0</v>
      </c>
      <c r="I313" s="435">
        <v>24</v>
      </c>
      <c r="J313" s="435">
        <v>26</v>
      </c>
      <c r="K313" s="435">
        <v>50</v>
      </c>
      <c r="L313" s="435">
        <v>2</v>
      </c>
      <c r="M313" s="434"/>
      <c r="N313" s="437">
        <v>0.4</v>
      </c>
      <c r="O313" s="437">
        <v>0.6</v>
      </c>
      <c r="P313" s="438"/>
    </row>
    <row r="314" spans="1:16" x14ac:dyDescent="0.25">
      <c r="A314" s="439" t="s">
        <v>406</v>
      </c>
      <c r="B314" s="440"/>
      <c r="C314" s="440"/>
      <c r="D314" s="440"/>
      <c r="E314" s="440"/>
      <c r="F314" s="440"/>
      <c r="G314" s="440"/>
      <c r="H314" s="440"/>
      <c r="I314" s="440"/>
      <c r="J314" s="440"/>
      <c r="K314" s="440"/>
      <c r="L314" s="440"/>
      <c r="M314" s="440"/>
      <c r="N314" s="440"/>
      <c r="O314" s="440"/>
      <c r="P314" s="441"/>
    </row>
    <row r="315" spans="1:16" ht="22.5" x14ac:dyDescent="0.25">
      <c r="A315" s="442" t="s">
        <v>638</v>
      </c>
      <c r="B315" s="443" t="s">
        <v>639</v>
      </c>
      <c r="C315" s="435" t="s">
        <v>640</v>
      </c>
      <c r="D315" s="436" t="s">
        <v>641</v>
      </c>
      <c r="E315" s="435">
        <v>18</v>
      </c>
      <c r="F315" s="435">
        <v>6</v>
      </c>
      <c r="G315" s="435">
        <v>0</v>
      </c>
      <c r="H315" s="435">
        <v>0</v>
      </c>
      <c r="I315" s="435">
        <v>24</v>
      </c>
      <c r="J315" s="435">
        <v>26</v>
      </c>
      <c r="K315" s="435">
        <v>50</v>
      </c>
      <c r="L315" s="435">
        <v>2</v>
      </c>
      <c r="M315" s="434">
        <v>6</v>
      </c>
      <c r="N315" s="437">
        <v>0.4</v>
      </c>
      <c r="O315" s="437">
        <v>0.6</v>
      </c>
      <c r="P315" s="438" t="s">
        <v>642</v>
      </c>
    </row>
    <row r="316" spans="1:16" x14ac:dyDescent="0.25">
      <c r="A316" s="442"/>
      <c r="B316" s="443"/>
      <c r="C316" s="435" t="s">
        <v>643</v>
      </c>
      <c r="D316" s="435" t="s">
        <v>644</v>
      </c>
      <c r="E316" s="435">
        <v>14</v>
      </c>
      <c r="F316" s="435">
        <v>10</v>
      </c>
      <c r="G316" s="435">
        <v>0</v>
      </c>
      <c r="H316" s="435">
        <v>0</v>
      </c>
      <c r="I316" s="435">
        <v>24</v>
      </c>
      <c r="J316" s="435">
        <v>26</v>
      </c>
      <c r="K316" s="435">
        <v>50</v>
      </c>
      <c r="L316" s="435">
        <v>2</v>
      </c>
      <c r="M316" s="434"/>
      <c r="N316" s="444"/>
      <c r="O316" s="437">
        <v>0.6</v>
      </c>
      <c r="P316" s="438"/>
    </row>
    <row r="317" spans="1:16" ht="22.5" x14ac:dyDescent="0.25">
      <c r="A317" s="442"/>
      <c r="B317" s="443"/>
      <c r="C317" s="435" t="s">
        <v>645</v>
      </c>
      <c r="D317" s="436" t="s">
        <v>646</v>
      </c>
      <c r="E317" s="435">
        <v>14</v>
      </c>
      <c r="F317" s="435">
        <v>10</v>
      </c>
      <c r="G317" s="435">
        <v>0</v>
      </c>
      <c r="H317" s="435">
        <v>0</v>
      </c>
      <c r="I317" s="435">
        <v>24</v>
      </c>
      <c r="J317" s="435">
        <v>26</v>
      </c>
      <c r="K317" s="435">
        <v>50</v>
      </c>
      <c r="L317" s="435">
        <v>2</v>
      </c>
      <c r="M317" s="434"/>
      <c r="N317" s="444"/>
      <c r="O317" s="437">
        <v>0.6</v>
      </c>
      <c r="P317" s="438"/>
    </row>
    <row r="318" spans="1:16" x14ac:dyDescent="0.25">
      <c r="A318" s="445" t="s">
        <v>647</v>
      </c>
      <c r="B318" s="446" t="s">
        <v>648</v>
      </c>
      <c r="C318" s="447" t="s">
        <v>649</v>
      </c>
      <c r="D318" s="447" t="s">
        <v>650</v>
      </c>
      <c r="E318" s="447">
        <v>10</v>
      </c>
      <c r="F318" s="447">
        <v>4</v>
      </c>
      <c r="G318" s="447">
        <v>10</v>
      </c>
      <c r="H318" s="447">
        <v>0</v>
      </c>
      <c r="I318" s="447">
        <v>24</v>
      </c>
      <c r="J318" s="447">
        <v>26</v>
      </c>
      <c r="K318" s="447">
        <v>50</v>
      </c>
      <c r="L318" s="447">
        <v>2</v>
      </c>
      <c r="M318" s="446">
        <v>4</v>
      </c>
      <c r="N318" s="448"/>
      <c r="O318" s="449">
        <v>0.6</v>
      </c>
      <c r="P318" s="450" t="s">
        <v>651</v>
      </c>
    </row>
    <row r="319" spans="1:16" x14ac:dyDescent="0.25">
      <c r="A319" s="445"/>
      <c r="B319" s="446"/>
      <c r="C319" s="447" t="s">
        <v>652</v>
      </c>
      <c r="D319" s="451" t="s">
        <v>653</v>
      </c>
      <c r="E319" s="447">
        <v>15</v>
      </c>
      <c r="F319" s="447">
        <v>9</v>
      </c>
      <c r="G319" s="447">
        <v>0</v>
      </c>
      <c r="H319" s="447">
        <v>0</v>
      </c>
      <c r="I319" s="447">
        <v>24</v>
      </c>
      <c r="J319" s="447">
        <v>26</v>
      </c>
      <c r="K319" s="447">
        <v>50</v>
      </c>
      <c r="L319" s="447">
        <v>2</v>
      </c>
      <c r="M319" s="446"/>
      <c r="N319" s="448"/>
      <c r="O319" s="449">
        <v>0.6</v>
      </c>
      <c r="P319" s="450"/>
    </row>
    <row r="320" spans="1:16" x14ac:dyDescent="0.25">
      <c r="A320" s="430" t="s">
        <v>62</v>
      </c>
      <c r="B320" s="431"/>
      <c r="C320" s="431"/>
      <c r="D320" s="431"/>
      <c r="E320" s="431"/>
      <c r="F320" s="431"/>
      <c r="G320" s="431"/>
      <c r="H320" s="431"/>
      <c r="I320" s="431"/>
      <c r="J320" s="431"/>
      <c r="K320" s="431"/>
      <c r="L320" s="431"/>
      <c r="M320" s="431"/>
      <c r="N320" s="431"/>
      <c r="O320" s="431"/>
      <c r="P320" s="432"/>
    </row>
    <row r="321" spans="1:16" x14ac:dyDescent="0.25">
      <c r="A321" s="445" t="s">
        <v>654</v>
      </c>
      <c r="B321" s="446" t="s">
        <v>655</v>
      </c>
      <c r="C321" s="447" t="s">
        <v>656</v>
      </c>
      <c r="D321" s="451" t="s">
        <v>657</v>
      </c>
      <c r="E321" s="447">
        <v>10</v>
      </c>
      <c r="F321" s="447">
        <v>14</v>
      </c>
      <c r="G321" s="447">
        <v>0</v>
      </c>
      <c r="H321" s="447">
        <v>0</v>
      </c>
      <c r="I321" s="447">
        <v>24</v>
      </c>
      <c r="J321" s="447">
        <v>26</v>
      </c>
      <c r="K321" s="447">
        <v>50</v>
      </c>
      <c r="L321" s="447">
        <v>2</v>
      </c>
      <c r="M321" s="446">
        <v>3</v>
      </c>
      <c r="N321" s="452"/>
      <c r="O321" s="452"/>
      <c r="P321" s="450" t="s">
        <v>633</v>
      </c>
    </row>
    <row r="322" spans="1:16" ht="22.5" x14ac:dyDescent="0.25">
      <c r="A322" s="445"/>
      <c r="B322" s="446"/>
      <c r="C322" s="447" t="s">
        <v>658</v>
      </c>
      <c r="D322" s="451" t="s">
        <v>659</v>
      </c>
      <c r="E322" s="447">
        <v>6</v>
      </c>
      <c r="F322" s="447">
        <v>6</v>
      </c>
      <c r="G322" s="447">
        <v>0</v>
      </c>
      <c r="H322" s="447">
        <v>0</v>
      </c>
      <c r="I322" s="447">
        <v>12</v>
      </c>
      <c r="J322" s="447">
        <v>13</v>
      </c>
      <c r="K322" s="447">
        <v>25</v>
      </c>
      <c r="L322" s="447">
        <v>1</v>
      </c>
      <c r="M322" s="446"/>
      <c r="N322" s="448"/>
      <c r="O322" s="448"/>
      <c r="P322" s="450"/>
    </row>
    <row r="323" spans="1:16" x14ac:dyDescent="0.25">
      <c r="A323" s="445" t="s">
        <v>660</v>
      </c>
      <c r="B323" s="453" t="s">
        <v>661</v>
      </c>
      <c r="C323" s="447" t="s">
        <v>662</v>
      </c>
      <c r="D323" s="451" t="s">
        <v>663</v>
      </c>
      <c r="E323" s="447">
        <v>8</v>
      </c>
      <c r="F323" s="447">
        <v>4</v>
      </c>
      <c r="G323" s="447">
        <v>0</v>
      </c>
      <c r="H323" s="447">
        <v>0</v>
      </c>
      <c r="I323" s="447">
        <v>12</v>
      </c>
      <c r="J323" s="447">
        <v>13</v>
      </c>
      <c r="K323" s="447">
        <v>25</v>
      </c>
      <c r="L323" s="447">
        <v>1</v>
      </c>
      <c r="M323" s="446">
        <v>2</v>
      </c>
      <c r="N323" s="448"/>
      <c r="O323" s="448"/>
      <c r="P323" s="450" t="s">
        <v>664</v>
      </c>
    </row>
    <row r="324" spans="1:16" x14ac:dyDescent="0.25">
      <c r="A324" s="445"/>
      <c r="B324" s="453"/>
      <c r="C324" s="447" t="s">
        <v>665</v>
      </c>
      <c r="D324" s="451" t="s">
        <v>666</v>
      </c>
      <c r="E324" s="447">
        <v>8</v>
      </c>
      <c r="F324" s="447">
        <v>4</v>
      </c>
      <c r="G324" s="447">
        <v>0</v>
      </c>
      <c r="H324" s="447">
        <v>0</v>
      </c>
      <c r="I324" s="447">
        <v>12</v>
      </c>
      <c r="J324" s="447">
        <v>13</v>
      </c>
      <c r="K324" s="447">
        <v>25</v>
      </c>
      <c r="L324" s="447">
        <v>1</v>
      </c>
      <c r="M324" s="446"/>
      <c r="N324" s="448"/>
      <c r="O324" s="448"/>
      <c r="P324" s="450"/>
    </row>
    <row r="325" spans="1:16" x14ac:dyDescent="0.25">
      <c r="A325" s="430" t="s">
        <v>67</v>
      </c>
      <c r="B325" s="431"/>
      <c r="C325" s="431"/>
      <c r="D325" s="431"/>
      <c r="E325" s="431"/>
      <c r="F325" s="431"/>
      <c r="G325" s="431"/>
      <c r="H325" s="431"/>
      <c r="I325" s="431"/>
      <c r="J325" s="431"/>
      <c r="K325" s="431"/>
      <c r="L325" s="431"/>
      <c r="M325" s="431"/>
      <c r="N325" s="431"/>
      <c r="O325" s="431"/>
      <c r="P325" s="432"/>
    </row>
    <row r="326" spans="1:16" x14ac:dyDescent="0.25">
      <c r="A326" s="454" t="s">
        <v>667</v>
      </c>
      <c r="B326" s="455" t="s">
        <v>668</v>
      </c>
      <c r="C326" s="456" t="s">
        <v>669</v>
      </c>
      <c r="D326" s="451" t="s">
        <v>670</v>
      </c>
      <c r="E326" s="456">
        <v>0</v>
      </c>
      <c r="F326" s="456">
        <v>12</v>
      </c>
      <c r="G326" s="456">
        <v>0</v>
      </c>
      <c r="H326" s="456">
        <v>0</v>
      </c>
      <c r="I326" s="456">
        <v>12</v>
      </c>
      <c r="J326" s="456">
        <v>13</v>
      </c>
      <c r="K326" s="456">
        <v>25</v>
      </c>
      <c r="L326" s="456">
        <v>1</v>
      </c>
      <c r="M326" s="457">
        <v>2</v>
      </c>
      <c r="N326" s="452"/>
      <c r="O326" s="452"/>
      <c r="P326" s="458"/>
    </row>
    <row r="327" spans="1:16" ht="22.5" x14ac:dyDescent="0.25">
      <c r="A327" s="454"/>
      <c r="B327" s="455"/>
      <c r="C327" s="456" t="s">
        <v>671</v>
      </c>
      <c r="D327" s="451" t="s">
        <v>672</v>
      </c>
      <c r="E327" s="456">
        <v>0</v>
      </c>
      <c r="F327" s="456">
        <v>12</v>
      </c>
      <c r="G327" s="456">
        <v>0</v>
      </c>
      <c r="H327" s="456">
        <v>0</v>
      </c>
      <c r="I327" s="456">
        <v>12</v>
      </c>
      <c r="J327" s="456">
        <v>13</v>
      </c>
      <c r="K327" s="456">
        <v>25</v>
      </c>
      <c r="L327" s="456">
        <v>1</v>
      </c>
      <c r="M327" s="457"/>
      <c r="N327" s="456"/>
      <c r="O327" s="456"/>
      <c r="P327" s="459" t="s">
        <v>664</v>
      </c>
    </row>
    <row r="328" spans="1:16" ht="22.5" x14ac:dyDescent="0.25">
      <c r="A328" s="460" t="s">
        <v>673</v>
      </c>
      <c r="B328" s="461" t="s">
        <v>674</v>
      </c>
      <c r="C328" s="462" t="s">
        <v>675</v>
      </c>
      <c r="D328" s="463" t="s">
        <v>674</v>
      </c>
      <c r="E328" s="451">
        <v>0</v>
      </c>
      <c r="F328" s="451">
        <v>24</v>
      </c>
      <c r="G328" s="451">
        <v>0</v>
      </c>
      <c r="H328" s="451">
        <v>0</v>
      </c>
      <c r="I328" s="451">
        <v>24</v>
      </c>
      <c r="J328" s="451">
        <v>26</v>
      </c>
      <c r="K328" s="447">
        <v>50</v>
      </c>
      <c r="L328" s="447">
        <v>2</v>
      </c>
      <c r="M328" s="456">
        <v>2</v>
      </c>
      <c r="N328" s="456"/>
      <c r="O328" s="456"/>
      <c r="P328" s="464" t="s">
        <v>676</v>
      </c>
    </row>
    <row r="329" spans="1:16" ht="15.75" thickBot="1" x14ac:dyDescent="0.3">
      <c r="A329" s="465" t="s">
        <v>677</v>
      </c>
      <c r="B329" s="466"/>
      <c r="C329" s="466"/>
      <c r="D329" s="466"/>
      <c r="E329" s="467">
        <f t="shared" ref="E329:L329" si="9">SUM(E326:E328,E321:E324,E315:E319,E308:E313)</f>
        <v>191</v>
      </c>
      <c r="F329" s="467">
        <f t="shared" si="9"/>
        <v>159</v>
      </c>
      <c r="G329" s="467">
        <f t="shared" si="9"/>
        <v>10</v>
      </c>
      <c r="H329" s="467">
        <f t="shared" si="9"/>
        <v>0</v>
      </c>
      <c r="I329" s="467">
        <f t="shared" si="9"/>
        <v>360</v>
      </c>
      <c r="J329" s="467">
        <f t="shared" si="9"/>
        <v>390</v>
      </c>
      <c r="K329" s="467">
        <f t="shared" si="9"/>
        <v>750</v>
      </c>
      <c r="L329" s="466">
        <f t="shared" si="9"/>
        <v>30</v>
      </c>
      <c r="M329" s="466"/>
      <c r="N329" s="467"/>
      <c r="O329" s="467"/>
      <c r="P329" s="468"/>
    </row>
    <row r="330" spans="1:16" x14ac:dyDescent="0.25">
      <c r="A330" s="469"/>
      <c r="B330" s="469"/>
      <c r="C330" s="469"/>
      <c r="D330" s="469"/>
      <c r="E330" s="469"/>
      <c r="F330" s="469"/>
      <c r="G330" s="469"/>
      <c r="H330" s="469"/>
      <c r="I330" s="469"/>
      <c r="J330" s="469"/>
      <c r="K330" s="469"/>
      <c r="L330" s="469"/>
      <c r="M330" s="469"/>
      <c r="N330" s="469"/>
      <c r="O330" s="469"/>
      <c r="P330" s="469"/>
    </row>
    <row r="331" spans="1:16" x14ac:dyDescent="0.25">
      <c r="A331" s="469"/>
      <c r="B331" s="469"/>
      <c r="C331" s="469"/>
      <c r="D331" s="469"/>
      <c r="E331" s="469"/>
      <c r="F331" s="469"/>
      <c r="G331" s="469"/>
      <c r="H331" s="469"/>
      <c r="I331" s="469"/>
      <c r="J331" s="469"/>
      <c r="K331" s="469"/>
      <c r="L331" s="469"/>
      <c r="M331" s="469"/>
      <c r="N331" s="469"/>
      <c r="O331" s="469"/>
      <c r="P331" s="469"/>
    </row>
    <row r="332" spans="1:16" ht="15.75" thickBot="1" x14ac:dyDescent="0.3">
      <c r="A332" s="470"/>
      <c r="B332" s="471"/>
      <c r="C332" s="472"/>
      <c r="D332" s="473" t="s">
        <v>678</v>
      </c>
      <c r="E332" s="474"/>
      <c r="F332" s="474"/>
      <c r="G332" s="474"/>
      <c r="H332" s="474"/>
      <c r="I332" s="474"/>
      <c r="J332" s="474"/>
      <c r="K332" s="474"/>
      <c r="L332" s="474"/>
      <c r="M332" s="474"/>
      <c r="N332" s="472"/>
      <c r="O332" s="472"/>
      <c r="P332" s="474"/>
    </row>
    <row r="333" spans="1:16" x14ac:dyDescent="0.25">
      <c r="A333" s="475"/>
      <c r="B333" s="476" t="s">
        <v>248</v>
      </c>
      <c r="C333" s="476"/>
      <c r="D333" s="476"/>
      <c r="E333" s="476" t="s">
        <v>249</v>
      </c>
      <c r="F333" s="476"/>
      <c r="G333" s="476"/>
      <c r="H333" s="476"/>
      <c r="I333" s="476"/>
      <c r="J333" s="476"/>
      <c r="K333" s="476"/>
      <c r="L333" s="477" t="s">
        <v>250</v>
      </c>
      <c r="M333" s="360" t="s">
        <v>251</v>
      </c>
      <c r="N333" s="478" t="s">
        <v>11</v>
      </c>
      <c r="O333" s="478"/>
      <c r="P333" s="7" t="s">
        <v>12</v>
      </c>
    </row>
    <row r="334" spans="1:16" x14ac:dyDescent="0.25">
      <c r="A334" s="479" t="s">
        <v>252</v>
      </c>
      <c r="B334" s="480" t="s">
        <v>253</v>
      </c>
      <c r="C334" s="481" t="s">
        <v>254</v>
      </c>
      <c r="D334" s="482" t="s">
        <v>16</v>
      </c>
      <c r="E334" s="482" t="s">
        <v>255</v>
      </c>
      <c r="F334" s="482" t="s">
        <v>18</v>
      </c>
      <c r="G334" s="482" t="s">
        <v>19</v>
      </c>
      <c r="H334" s="482" t="s">
        <v>20</v>
      </c>
      <c r="I334" s="10" t="s">
        <v>21</v>
      </c>
      <c r="J334" s="482" t="s">
        <v>22</v>
      </c>
      <c r="K334" s="482" t="s">
        <v>23</v>
      </c>
      <c r="L334" s="483"/>
      <c r="M334" s="484"/>
      <c r="N334" s="12" t="s">
        <v>24</v>
      </c>
      <c r="O334" s="12" t="s">
        <v>25</v>
      </c>
      <c r="P334" s="13"/>
    </row>
    <row r="335" spans="1:16" x14ac:dyDescent="0.25">
      <c r="A335" s="247" t="s">
        <v>26</v>
      </c>
      <c r="B335" s="248"/>
      <c r="C335" s="248"/>
      <c r="D335" s="248"/>
      <c r="E335" s="248"/>
      <c r="F335" s="248"/>
      <c r="G335" s="248"/>
      <c r="H335" s="248"/>
      <c r="I335" s="248"/>
      <c r="J335" s="248"/>
      <c r="K335" s="248"/>
      <c r="L335" s="248"/>
      <c r="M335" s="248"/>
      <c r="N335" s="248"/>
      <c r="O335" s="248"/>
      <c r="P335" s="249"/>
    </row>
    <row r="336" spans="1:16" x14ac:dyDescent="0.25">
      <c r="A336" s="485"/>
      <c r="B336" s="486"/>
      <c r="C336" s="486"/>
      <c r="D336" s="486"/>
      <c r="E336" s="486"/>
      <c r="F336" s="486"/>
      <c r="G336" s="486"/>
      <c r="H336" s="486"/>
      <c r="I336" s="486"/>
      <c r="J336" s="486"/>
      <c r="K336" s="486"/>
      <c r="L336" s="486"/>
      <c r="M336" s="486"/>
      <c r="N336" s="487"/>
      <c r="O336" s="487"/>
      <c r="P336" s="488"/>
    </row>
    <row r="337" spans="1:16" x14ac:dyDescent="0.25">
      <c r="A337" s="489" t="s">
        <v>679</v>
      </c>
      <c r="B337" s="490" t="s">
        <v>680</v>
      </c>
      <c r="C337" s="491" t="s">
        <v>681</v>
      </c>
      <c r="D337" s="492" t="s">
        <v>682</v>
      </c>
      <c r="E337" s="493">
        <v>9</v>
      </c>
      <c r="F337" s="493">
        <v>3</v>
      </c>
      <c r="G337" s="494">
        <v>0</v>
      </c>
      <c r="H337" s="494">
        <v>0</v>
      </c>
      <c r="I337" s="494">
        <v>12</v>
      </c>
      <c r="J337" s="494">
        <v>13</v>
      </c>
      <c r="K337" s="494">
        <v>25</v>
      </c>
      <c r="L337" s="494">
        <v>1</v>
      </c>
      <c r="M337" s="495">
        <v>4</v>
      </c>
      <c r="N337" s="496">
        <v>0.4</v>
      </c>
      <c r="O337" s="496">
        <v>0.6</v>
      </c>
      <c r="P337" s="497" t="s">
        <v>633</v>
      </c>
    </row>
    <row r="338" spans="1:16" x14ac:dyDescent="0.25">
      <c r="A338" s="489"/>
      <c r="B338" s="490"/>
      <c r="C338" s="491" t="s">
        <v>683</v>
      </c>
      <c r="D338" s="492" t="s">
        <v>684</v>
      </c>
      <c r="E338" s="493">
        <v>14</v>
      </c>
      <c r="F338" s="493">
        <v>10</v>
      </c>
      <c r="G338" s="494">
        <v>0</v>
      </c>
      <c r="H338" s="494">
        <v>0</v>
      </c>
      <c r="I338" s="494">
        <v>24</v>
      </c>
      <c r="J338" s="494">
        <v>26</v>
      </c>
      <c r="K338" s="494">
        <v>46</v>
      </c>
      <c r="L338" s="494">
        <v>2</v>
      </c>
      <c r="M338" s="495"/>
      <c r="N338" s="496">
        <v>0.4</v>
      </c>
      <c r="O338" s="496">
        <v>0.6</v>
      </c>
      <c r="P338" s="497"/>
    </row>
    <row r="339" spans="1:16" ht="24" x14ac:dyDescent="0.25">
      <c r="A339" s="489"/>
      <c r="B339" s="490"/>
      <c r="C339" s="491" t="s">
        <v>685</v>
      </c>
      <c r="D339" s="492" t="s">
        <v>686</v>
      </c>
      <c r="E339" s="493">
        <v>8</v>
      </c>
      <c r="F339" s="493">
        <v>4</v>
      </c>
      <c r="G339" s="494">
        <v>0</v>
      </c>
      <c r="H339" s="494">
        <v>0</v>
      </c>
      <c r="I339" s="494">
        <v>12</v>
      </c>
      <c r="J339" s="494">
        <v>13</v>
      </c>
      <c r="K339" s="494">
        <v>25</v>
      </c>
      <c r="L339" s="494">
        <v>1</v>
      </c>
      <c r="M339" s="495"/>
      <c r="N339" s="496">
        <v>0.4</v>
      </c>
      <c r="O339" s="496">
        <v>0.6</v>
      </c>
      <c r="P339" s="497"/>
    </row>
    <row r="340" spans="1:16" x14ac:dyDescent="0.25">
      <c r="A340" s="489" t="s">
        <v>687</v>
      </c>
      <c r="B340" s="495" t="s">
        <v>688</v>
      </c>
      <c r="C340" s="491" t="s">
        <v>689</v>
      </c>
      <c r="D340" s="492" t="s">
        <v>690</v>
      </c>
      <c r="E340" s="493">
        <v>12</v>
      </c>
      <c r="F340" s="494">
        <v>0</v>
      </c>
      <c r="G340" s="494">
        <v>0</v>
      </c>
      <c r="H340" s="494">
        <v>0</v>
      </c>
      <c r="I340" s="494">
        <v>12</v>
      </c>
      <c r="J340" s="494">
        <v>13</v>
      </c>
      <c r="K340" s="494">
        <v>25</v>
      </c>
      <c r="L340" s="494">
        <v>1</v>
      </c>
      <c r="M340" s="495">
        <v>3</v>
      </c>
      <c r="N340" s="496">
        <v>0.4</v>
      </c>
      <c r="O340" s="496">
        <v>0.6</v>
      </c>
      <c r="P340" s="497" t="s">
        <v>691</v>
      </c>
    </row>
    <row r="341" spans="1:16" x14ac:dyDescent="0.25">
      <c r="A341" s="489"/>
      <c r="B341" s="495"/>
      <c r="C341" s="491" t="s">
        <v>692</v>
      </c>
      <c r="D341" s="492" t="s">
        <v>693</v>
      </c>
      <c r="E341" s="493">
        <v>12</v>
      </c>
      <c r="F341" s="494">
        <v>0</v>
      </c>
      <c r="G341" s="494">
        <v>0</v>
      </c>
      <c r="H341" s="494">
        <v>0</v>
      </c>
      <c r="I341" s="494">
        <v>12</v>
      </c>
      <c r="J341" s="494">
        <v>13</v>
      </c>
      <c r="K341" s="494">
        <v>25</v>
      </c>
      <c r="L341" s="494">
        <v>1</v>
      </c>
      <c r="M341" s="495"/>
      <c r="N341" s="496">
        <v>0.4</v>
      </c>
      <c r="O341" s="496">
        <v>0.6</v>
      </c>
      <c r="P341" s="497"/>
    </row>
    <row r="342" spans="1:16" x14ac:dyDescent="0.25">
      <c r="A342" s="489"/>
      <c r="B342" s="495"/>
      <c r="C342" s="491" t="s">
        <v>694</v>
      </c>
      <c r="D342" s="492" t="s">
        <v>695</v>
      </c>
      <c r="E342" s="493">
        <v>12</v>
      </c>
      <c r="F342" s="494">
        <v>0</v>
      </c>
      <c r="G342" s="494">
        <v>0</v>
      </c>
      <c r="H342" s="494">
        <v>0</v>
      </c>
      <c r="I342" s="494">
        <v>12</v>
      </c>
      <c r="J342" s="494">
        <v>13</v>
      </c>
      <c r="K342" s="494">
        <v>25</v>
      </c>
      <c r="L342" s="494">
        <v>1</v>
      </c>
      <c r="M342" s="495"/>
      <c r="N342" s="496">
        <v>0.4</v>
      </c>
      <c r="O342" s="496">
        <v>0.6</v>
      </c>
      <c r="P342" s="497"/>
    </row>
    <row r="343" spans="1:16" x14ac:dyDescent="0.25">
      <c r="A343" s="247" t="s">
        <v>406</v>
      </c>
      <c r="B343" s="248"/>
      <c r="C343" s="248"/>
      <c r="D343" s="248"/>
      <c r="E343" s="248"/>
      <c r="F343" s="248"/>
      <c r="G343" s="248"/>
      <c r="H343" s="248"/>
      <c r="I343" s="248"/>
      <c r="J343" s="248"/>
      <c r="K343" s="248"/>
      <c r="L343" s="248"/>
      <c r="M343" s="248"/>
      <c r="N343" s="248"/>
      <c r="O343" s="248"/>
      <c r="P343" s="249"/>
    </row>
    <row r="344" spans="1:16" x14ac:dyDescent="0.25">
      <c r="A344" s="489" t="s">
        <v>696</v>
      </c>
      <c r="B344" s="498" t="s">
        <v>697</v>
      </c>
      <c r="C344" s="492" t="s">
        <v>698</v>
      </c>
      <c r="D344" s="499" t="s">
        <v>699</v>
      </c>
      <c r="E344" s="500">
        <v>14</v>
      </c>
      <c r="F344" s="500">
        <v>0</v>
      </c>
      <c r="G344" s="494">
        <v>10</v>
      </c>
      <c r="H344" s="494">
        <v>0</v>
      </c>
      <c r="I344" s="494">
        <v>24</v>
      </c>
      <c r="J344" s="494">
        <v>26</v>
      </c>
      <c r="K344" s="494">
        <v>50</v>
      </c>
      <c r="L344" s="494">
        <v>2</v>
      </c>
      <c r="M344" s="495">
        <v>6</v>
      </c>
      <c r="N344" s="496">
        <v>0.4</v>
      </c>
      <c r="O344" s="496">
        <v>0.6</v>
      </c>
      <c r="P344" s="497" t="s">
        <v>664</v>
      </c>
    </row>
    <row r="345" spans="1:16" x14ac:dyDescent="0.25">
      <c r="A345" s="489"/>
      <c r="B345" s="498"/>
      <c r="C345" s="492" t="s">
        <v>700</v>
      </c>
      <c r="D345" s="499" t="s">
        <v>701</v>
      </c>
      <c r="E345" s="499">
        <v>14</v>
      </c>
      <c r="F345" s="499">
        <v>0</v>
      </c>
      <c r="G345" s="494">
        <v>10</v>
      </c>
      <c r="H345" s="494">
        <v>0</v>
      </c>
      <c r="I345" s="494">
        <v>24</v>
      </c>
      <c r="J345" s="494">
        <v>26</v>
      </c>
      <c r="K345" s="494">
        <v>50</v>
      </c>
      <c r="L345" s="494">
        <v>2</v>
      </c>
      <c r="M345" s="495"/>
      <c r="N345" s="496">
        <v>0.4</v>
      </c>
      <c r="O345" s="496">
        <v>0.6</v>
      </c>
      <c r="P345" s="497"/>
    </row>
    <row r="346" spans="1:16" x14ac:dyDescent="0.25">
      <c r="A346" s="489"/>
      <c r="B346" s="498"/>
      <c r="C346" s="492" t="s">
        <v>702</v>
      </c>
      <c r="D346" s="499" t="s">
        <v>703</v>
      </c>
      <c r="E346" s="500">
        <v>10</v>
      </c>
      <c r="F346" s="500">
        <v>4</v>
      </c>
      <c r="G346" s="494">
        <v>10</v>
      </c>
      <c r="H346" s="494">
        <v>0</v>
      </c>
      <c r="I346" s="494">
        <v>24</v>
      </c>
      <c r="J346" s="494">
        <v>26</v>
      </c>
      <c r="K346" s="494">
        <v>50</v>
      </c>
      <c r="L346" s="494">
        <v>2</v>
      </c>
      <c r="M346" s="495"/>
      <c r="N346" s="496">
        <v>0.4</v>
      </c>
      <c r="O346" s="496">
        <v>0.6</v>
      </c>
      <c r="P346" s="497"/>
    </row>
    <row r="347" spans="1:16" x14ac:dyDescent="0.25">
      <c r="A347" s="501" t="s">
        <v>704</v>
      </c>
      <c r="B347" s="498" t="s">
        <v>705</v>
      </c>
      <c r="C347" s="492" t="s">
        <v>706</v>
      </c>
      <c r="D347" s="499" t="s">
        <v>707</v>
      </c>
      <c r="E347" s="500">
        <v>14</v>
      </c>
      <c r="F347" s="500">
        <v>10</v>
      </c>
      <c r="G347" s="494">
        <v>0</v>
      </c>
      <c r="H347" s="494">
        <v>0</v>
      </c>
      <c r="I347" s="494">
        <v>24</v>
      </c>
      <c r="J347" s="494">
        <v>26</v>
      </c>
      <c r="K347" s="494">
        <v>50</v>
      </c>
      <c r="L347" s="494">
        <v>2</v>
      </c>
      <c r="M347" s="495">
        <v>4</v>
      </c>
      <c r="N347" s="496">
        <v>0.4</v>
      </c>
      <c r="O347" s="496">
        <v>0.6</v>
      </c>
      <c r="P347" s="497" t="s">
        <v>708</v>
      </c>
    </row>
    <row r="348" spans="1:16" x14ac:dyDescent="0.25">
      <c r="A348" s="501"/>
      <c r="B348" s="498"/>
      <c r="C348" s="492" t="s">
        <v>709</v>
      </c>
      <c r="D348" s="499" t="s">
        <v>710</v>
      </c>
      <c r="E348" s="500">
        <v>8</v>
      </c>
      <c r="F348" s="500">
        <v>4</v>
      </c>
      <c r="G348" s="494">
        <v>0</v>
      </c>
      <c r="H348" s="494">
        <v>0</v>
      </c>
      <c r="I348" s="494">
        <v>12</v>
      </c>
      <c r="J348" s="494">
        <v>13</v>
      </c>
      <c r="K348" s="494">
        <v>25</v>
      </c>
      <c r="L348" s="494">
        <v>1</v>
      </c>
      <c r="M348" s="495"/>
      <c r="N348" s="496">
        <v>0.4</v>
      </c>
      <c r="O348" s="496">
        <v>0.6</v>
      </c>
      <c r="P348" s="497"/>
    </row>
    <row r="349" spans="1:16" ht="24" x14ac:dyDescent="0.25">
      <c r="A349" s="501"/>
      <c r="B349" s="498"/>
      <c r="C349" s="492" t="s">
        <v>711</v>
      </c>
      <c r="D349" s="499" t="s">
        <v>712</v>
      </c>
      <c r="E349" s="500">
        <v>8</v>
      </c>
      <c r="F349" s="500">
        <v>4</v>
      </c>
      <c r="G349" s="494">
        <v>0</v>
      </c>
      <c r="H349" s="494">
        <v>0</v>
      </c>
      <c r="I349" s="494">
        <v>12</v>
      </c>
      <c r="J349" s="494">
        <v>13</v>
      </c>
      <c r="K349" s="494">
        <v>25</v>
      </c>
      <c r="L349" s="494">
        <v>1</v>
      </c>
      <c r="M349" s="495"/>
      <c r="N349" s="496">
        <v>0.4</v>
      </c>
      <c r="O349" s="496">
        <v>0.6</v>
      </c>
      <c r="P349" s="497"/>
    </row>
    <row r="350" spans="1:16" x14ac:dyDescent="0.25">
      <c r="A350" s="247" t="s">
        <v>62</v>
      </c>
      <c r="B350" s="248"/>
      <c r="C350" s="248"/>
      <c r="D350" s="248"/>
      <c r="E350" s="248"/>
      <c r="F350" s="248"/>
      <c r="G350" s="248"/>
      <c r="H350" s="248"/>
      <c r="I350" s="248"/>
      <c r="J350" s="248"/>
      <c r="K350" s="248"/>
      <c r="L350" s="248"/>
      <c r="M350" s="248"/>
      <c r="N350" s="248"/>
      <c r="O350" s="248"/>
      <c r="P350" s="249"/>
    </row>
    <row r="351" spans="1:16" ht="24.75" x14ac:dyDescent="0.25">
      <c r="A351" s="502" t="s">
        <v>713</v>
      </c>
      <c r="B351" s="503" t="s">
        <v>714</v>
      </c>
      <c r="C351" s="504" t="s">
        <v>713</v>
      </c>
      <c r="D351" s="505" t="s">
        <v>714</v>
      </c>
      <c r="E351" s="494">
        <v>20</v>
      </c>
      <c r="F351" s="494">
        <v>16</v>
      </c>
      <c r="G351" s="494">
        <v>0</v>
      </c>
      <c r="H351" s="494">
        <v>0</v>
      </c>
      <c r="I351" s="494">
        <v>36</v>
      </c>
      <c r="J351" s="494">
        <v>39</v>
      </c>
      <c r="K351" s="494">
        <v>75</v>
      </c>
      <c r="L351" s="494">
        <v>3</v>
      </c>
      <c r="M351" s="491">
        <v>3</v>
      </c>
      <c r="N351" s="496">
        <v>0.4</v>
      </c>
      <c r="O351" s="496">
        <v>0.6</v>
      </c>
      <c r="P351" s="386" t="s">
        <v>715</v>
      </c>
    </row>
    <row r="352" spans="1:16" ht="24.75" x14ac:dyDescent="0.25">
      <c r="A352" s="502" t="s">
        <v>716</v>
      </c>
      <c r="B352" s="503" t="s">
        <v>717</v>
      </c>
      <c r="C352" s="504" t="s">
        <v>716</v>
      </c>
      <c r="D352" s="505" t="s">
        <v>717</v>
      </c>
      <c r="E352" s="494">
        <v>0</v>
      </c>
      <c r="F352" s="494">
        <v>0</v>
      </c>
      <c r="G352" s="494">
        <v>0</v>
      </c>
      <c r="H352" s="494">
        <v>0</v>
      </c>
      <c r="I352" s="494">
        <v>120</v>
      </c>
      <c r="J352" s="494">
        <v>130</v>
      </c>
      <c r="K352" s="494">
        <v>250</v>
      </c>
      <c r="L352" s="494">
        <v>10</v>
      </c>
      <c r="M352" s="491">
        <v>10</v>
      </c>
      <c r="N352" s="496"/>
      <c r="O352" s="496"/>
      <c r="P352" s="386" t="s">
        <v>718</v>
      </c>
    </row>
    <row r="353" spans="1:16" ht="15.75" thickBot="1" x14ac:dyDescent="0.3">
      <c r="A353" s="506" t="s">
        <v>719</v>
      </c>
      <c r="B353" s="507"/>
      <c r="C353" s="507"/>
      <c r="D353" s="507"/>
      <c r="E353" s="508">
        <f>E337+E338+E339+E340+E341+E342+E344+E345+E346+E347+E348+E349+E351+E352</f>
        <v>155</v>
      </c>
      <c r="F353" s="508">
        <f t="shared" ref="F353:L353" si="10">F337+F338+F339+F340+F341+F342+F344+F345+F346+F347+F348+F349+F351+F352</f>
        <v>55</v>
      </c>
      <c r="G353" s="508">
        <f t="shared" si="10"/>
        <v>30</v>
      </c>
      <c r="H353" s="508">
        <f t="shared" si="10"/>
        <v>0</v>
      </c>
      <c r="I353" s="508">
        <f t="shared" si="10"/>
        <v>360</v>
      </c>
      <c r="J353" s="508">
        <f t="shared" si="10"/>
        <v>390</v>
      </c>
      <c r="K353" s="508">
        <f t="shared" si="10"/>
        <v>746</v>
      </c>
      <c r="L353" s="507">
        <f t="shared" si="10"/>
        <v>30</v>
      </c>
      <c r="M353" s="507"/>
      <c r="N353" s="508"/>
      <c r="O353" s="508"/>
      <c r="P353" s="509"/>
    </row>
    <row r="354" spans="1:16" x14ac:dyDescent="0.25">
      <c r="A354" s="470"/>
      <c r="B354" s="471"/>
      <c r="C354" s="472"/>
      <c r="D354" s="510"/>
      <c r="E354" s="474"/>
      <c r="F354" s="474"/>
      <c r="G354" s="474"/>
      <c r="H354" s="474"/>
      <c r="I354" s="474"/>
      <c r="J354" s="474"/>
      <c r="K354" s="474"/>
      <c r="L354" s="474"/>
      <c r="M354" s="474"/>
      <c r="N354" s="472"/>
      <c r="O354" s="472"/>
      <c r="P354" s="474"/>
    </row>
    <row r="355" spans="1:16" x14ac:dyDescent="0.25">
      <c r="A355" s="470"/>
      <c r="B355" s="471"/>
      <c r="C355" s="472"/>
      <c r="D355" s="510"/>
      <c r="E355" s="474"/>
      <c r="F355" s="474"/>
      <c r="G355" s="474"/>
      <c r="H355" s="474"/>
      <c r="I355" s="474"/>
      <c r="J355" s="474"/>
      <c r="K355" s="474"/>
      <c r="L355" s="474"/>
      <c r="M355" s="474"/>
      <c r="N355" s="472"/>
      <c r="O355" s="472"/>
      <c r="P355" s="474"/>
    </row>
    <row r="356" spans="1:16" x14ac:dyDescent="0.25">
      <c r="A356" s="470"/>
      <c r="B356" s="471"/>
      <c r="C356" s="472"/>
      <c r="D356" s="510"/>
      <c r="E356" s="474"/>
      <c r="F356" s="474"/>
      <c r="G356" s="474"/>
      <c r="H356" s="474"/>
      <c r="I356" s="474"/>
      <c r="J356" s="474"/>
      <c r="K356" s="474"/>
      <c r="L356" s="474"/>
      <c r="M356" s="474"/>
      <c r="N356" s="472"/>
      <c r="O356" s="472"/>
      <c r="P356" s="474"/>
    </row>
    <row r="357" spans="1:16" x14ac:dyDescent="0.25">
      <c r="A357" s="470"/>
      <c r="B357" s="471"/>
      <c r="C357" s="472"/>
      <c r="D357" s="510"/>
      <c r="E357" s="474"/>
      <c r="F357" s="474"/>
      <c r="G357" s="474"/>
      <c r="H357" s="474"/>
      <c r="I357" s="474"/>
      <c r="J357" s="474"/>
      <c r="K357" s="474"/>
      <c r="L357" s="474"/>
      <c r="M357" s="474"/>
      <c r="N357" s="472"/>
      <c r="O357" s="472"/>
      <c r="P357" s="474"/>
    </row>
    <row r="358" spans="1:16" x14ac:dyDescent="0.25">
      <c r="A358" s="470"/>
      <c r="B358" s="471"/>
      <c r="C358" s="472"/>
      <c r="D358" s="510"/>
      <c r="E358" s="474"/>
      <c r="F358" s="474"/>
      <c r="G358" s="474"/>
      <c r="H358" s="474"/>
      <c r="I358" s="474"/>
      <c r="J358" s="474"/>
      <c r="K358" s="474"/>
      <c r="L358" s="474"/>
      <c r="M358" s="474"/>
      <c r="N358" s="472"/>
      <c r="O358" s="472"/>
      <c r="P358" s="474"/>
    </row>
    <row r="359" spans="1:16" x14ac:dyDescent="0.25">
      <c r="A359" s="470"/>
      <c r="B359" s="471"/>
      <c r="C359" s="472"/>
      <c r="D359" s="510"/>
      <c r="E359" s="474"/>
      <c r="F359" s="474"/>
      <c r="G359" s="474"/>
      <c r="H359" s="474"/>
      <c r="I359" s="474"/>
      <c r="J359" s="474"/>
      <c r="K359" s="474"/>
      <c r="L359" s="474"/>
      <c r="M359" s="474"/>
      <c r="N359" s="472"/>
      <c r="O359" s="472"/>
      <c r="P359" s="474"/>
    </row>
    <row r="360" spans="1:16" x14ac:dyDescent="0.25">
      <c r="A360" s="470"/>
      <c r="B360" s="471"/>
      <c r="C360" s="472"/>
      <c r="D360" s="510"/>
      <c r="E360" s="474"/>
      <c r="F360" s="474"/>
      <c r="G360" s="474"/>
      <c r="H360" s="474"/>
      <c r="I360" s="474"/>
      <c r="J360" s="474"/>
      <c r="K360" s="474"/>
      <c r="L360" s="474"/>
      <c r="M360" s="474"/>
      <c r="N360" s="472"/>
      <c r="O360" s="472"/>
      <c r="P360" s="474"/>
    </row>
    <row r="361" spans="1:16" ht="15.75" thickBot="1" x14ac:dyDescent="0.3">
      <c r="A361" s="470"/>
      <c r="B361" s="471"/>
      <c r="C361" s="472"/>
      <c r="D361" s="511" t="s">
        <v>720</v>
      </c>
      <c r="E361" s="474"/>
      <c r="F361" s="474"/>
      <c r="G361" s="474"/>
      <c r="H361" s="474"/>
      <c r="I361" s="474"/>
      <c r="J361" s="474"/>
      <c r="K361" s="474"/>
      <c r="L361" s="474"/>
      <c r="M361" s="474"/>
      <c r="N361" s="472"/>
      <c r="O361" s="472"/>
      <c r="P361" s="474"/>
    </row>
    <row r="362" spans="1:16" x14ac:dyDescent="0.25">
      <c r="A362" s="475"/>
      <c r="B362" s="476" t="s">
        <v>248</v>
      </c>
      <c r="C362" s="476"/>
      <c r="D362" s="476"/>
      <c r="E362" s="476" t="s">
        <v>249</v>
      </c>
      <c r="F362" s="476"/>
      <c r="G362" s="476"/>
      <c r="H362" s="476"/>
      <c r="I362" s="476"/>
      <c r="J362" s="476"/>
      <c r="K362" s="476"/>
      <c r="L362" s="477" t="s">
        <v>250</v>
      </c>
      <c r="M362" s="360" t="s">
        <v>251</v>
      </c>
      <c r="N362" s="478" t="s">
        <v>11</v>
      </c>
      <c r="O362" s="478"/>
      <c r="P362" s="7" t="s">
        <v>12</v>
      </c>
    </row>
    <row r="363" spans="1:16" x14ac:dyDescent="0.25">
      <c r="A363" s="479" t="s">
        <v>252</v>
      </c>
      <c r="B363" s="480" t="s">
        <v>253</v>
      </c>
      <c r="C363" s="481" t="s">
        <v>254</v>
      </c>
      <c r="D363" s="482" t="s">
        <v>16</v>
      </c>
      <c r="E363" s="482" t="s">
        <v>255</v>
      </c>
      <c r="F363" s="482" t="s">
        <v>18</v>
      </c>
      <c r="G363" s="482" t="s">
        <v>19</v>
      </c>
      <c r="H363" s="482" t="s">
        <v>20</v>
      </c>
      <c r="I363" s="10" t="s">
        <v>21</v>
      </c>
      <c r="J363" s="482" t="s">
        <v>22</v>
      </c>
      <c r="K363" s="482" t="s">
        <v>23</v>
      </c>
      <c r="L363" s="483"/>
      <c r="M363" s="484"/>
      <c r="N363" s="12" t="s">
        <v>24</v>
      </c>
      <c r="O363" s="12" t="s">
        <v>25</v>
      </c>
      <c r="P363" s="13"/>
    </row>
    <row r="364" spans="1:16" x14ac:dyDescent="0.25">
      <c r="A364" s="247" t="s">
        <v>26</v>
      </c>
      <c r="B364" s="248"/>
      <c r="C364" s="248"/>
      <c r="D364" s="248"/>
      <c r="E364" s="248"/>
      <c r="F364" s="248"/>
      <c r="G364" s="248"/>
      <c r="H364" s="248"/>
      <c r="I364" s="248"/>
      <c r="J364" s="248"/>
      <c r="K364" s="248"/>
      <c r="L364" s="248"/>
      <c r="M364" s="248"/>
      <c r="N364" s="248"/>
      <c r="O364" s="248"/>
      <c r="P364" s="249"/>
    </row>
    <row r="365" spans="1:16" x14ac:dyDescent="0.25">
      <c r="A365" s="512" t="s">
        <v>721</v>
      </c>
      <c r="B365" s="513" t="s">
        <v>722</v>
      </c>
      <c r="C365" s="514" t="s">
        <v>723</v>
      </c>
      <c r="D365" s="515" t="s">
        <v>724</v>
      </c>
      <c r="E365" s="516">
        <v>12</v>
      </c>
      <c r="F365" s="516">
        <v>0</v>
      </c>
      <c r="G365" s="516">
        <v>0</v>
      </c>
      <c r="H365" s="516">
        <v>0</v>
      </c>
      <c r="I365" s="516">
        <v>12</v>
      </c>
      <c r="J365" s="516">
        <v>13</v>
      </c>
      <c r="K365" s="516">
        <v>25</v>
      </c>
      <c r="L365" s="516">
        <v>1</v>
      </c>
      <c r="M365" s="517">
        <v>4</v>
      </c>
      <c r="N365" s="518">
        <v>0.4</v>
      </c>
      <c r="O365" s="518">
        <v>0.6</v>
      </c>
      <c r="P365" s="519" t="s">
        <v>725</v>
      </c>
    </row>
    <row r="366" spans="1:16" x14ac:dyDescent="0.25">
      <c r="A366" s="512"/>
      <c r="B366" s="513"/>
      <c r="C366" s="514" t="s">
        <v>726</v>
      </c>
      <c r="D366" s="515" t="s">
        <v>727</v>
      </c>
      <c r="E366" s="516">
        <v>15</v>
      </c>
      <c r="F366" s="516">
        <v>9</v>
      </c>
      <c r="G366" s="516">
        <v>0</v>
      </c>
      <c r="H366" s="516">
        <v>0</v>
      </c>
      <c r="I366" s="516">
        <v>24</v>
      </c>
      <c r="J366" s="516">
        <v>26</v>
      </c>
      <c r="K366" s="516">
        <v>50</v>
      </c>
      <c r="L366" s="516">
        <v>2</v>
      </c>
      <c r="M366" s="517"/>
      <c r="N366" s="518">
        <v>0.4</v>
      </c>
      <c r="O366" s="518">
        <v>0.6</v>
      </c>
      <c r="P366" s="519"/>
    </row>
    <row r="367" spans="1:16" ht="24" x14ac:dyDescent="0.25">
      <c r="A367" s="512"/>
      <c r="B367" s="513"/>
      <c r="C367" s="514" t="s">
        <v>728</v>
      </c>
      <c r="D367" s="515" t="s">
        <v>729</v>
      </c>
      <c r="E367" s="516">
        <v>8</v>
      </c>
      <c r="F367" s="516">
        <v>4</v>
      </c>
      <c r="G367" s="516">
        <v>0</v>
      </c>
      <c r="H367" s="516">
        <v>0</v>
      </c>
      <c r="I367" s="516">
        <v>12</v>
      </c>
      <c r="J367" s="516">
        <v>13</v>
      </c>
      <c r="K367" s="516">
        <v>25</v>
      </c>
      <c r="L367" s="516">
        <v>1</v>
      </c>
      <c r="M367" s="517"/>
      <c r="N367" s="518">
        <v>0.4</v>
      </c>
      <c r="O367" s="518">
        <v>0.6</v>
      </c>
      <c r="P367" s="519"/>
    </row>
    <row r="368" spans="1:16" x14ac:dyDescent="0.25">
      <c r="A368" s="512" t="s">
        <v>730</v>
      </c>
      <c r="B368" s="517" t="s">
        <v>731</v>
      </c>
      <c r="C368" s="514" t="s">
        <v>732</v>
      </c>
      <c r="D368" s="515" t="s">
        <v>733</v>
      </c>
      <c r="E368" s="516">
        <v>18</v>
      </c>
      <c r="F368" s="516">
        <v>6</v>
      </c>
      <c r="G368" s="516">
        <v>0</v>
      </c>
      <c r="H368" s="516">
        <v>0</v>
      </c>
      <c r="I368" s="516">
        <v>24</v>
      </c>
      <c r="J368" s="516">
        <v>26</v>
      </c>
      <c r="K368" s="516">
        <v>50</v>
      </c>
      <c r="L368" s="516">
        <v>2</v>
      </c>
      <c r="M368" s="517">
        <v>5</v>
      </c>
      <c r="N368" s="518">
        <v>0.4</v>
      </c>
      <c r="O368" s="518">
        <v>0.6</v>
      </c>
      <c r="P368" s="519" t="s">
        <v>691</v>
      </c>
    </row>
    <row r="369" spans="1:16" x14ac:dyDescent="0.25">
      <c r="A369" s="512"/>
      <c r="B369" s="517"/>
      <c r="C369" s="514" t="s">
        <v>734</v>
      </c>
      <c r="D369" s="515" t="s">
        <v>735</v>
      </c>
      <c r="E369" s="516">
        <v>20</v>
      </c>
      <c r="F369" s="516">
        <v>4</v>
      </c>
      <c r="G369" s="516">
        <v>0</v>
      </c>
      <c r="H369" s="516">
        <v>0</v>
      </c>
      <c r="I369" s="516">
        <v>24</v>
      </c>
      <c r="J369" s="516">
        <v>26</v>
      </c>
      <c r="K369" s="516">
        <v>50</v>
      </c>
      <c r="L369" s="516">
        <v>2</v>
      </c>
      <c r="M369" s="517"/>
      <c r="N369" s="518">
        <v>0.4</v>
      </c>
      <c r="O369" s="518">
        <v>0.6</v>
      </c>
      <c r="P369" s="519"/>
    </row>
    <row r="370" spans="1:16" x14ac:dyDescent="0.25">
      <c r="A370" s="512"/>
      <c r="B370" s="517"/>
      <c r="C370" s="514" t="s">
        <v>736</v>
      </c>
      <c r="D370" s="514" t="s">
        <v>737</v>
      </c>
      <c r="E370" s="516">
        <v>12</v>
      </c>
      <c r="F370" s="516">
        <v>0</v>
      </c>
      <c r="G370" s="516">
        <v>0</v>
      </c>
      <c r="H370" s="516">
        <v>0</v>
      </c>
      <c r="I370" s="516">
        <v>12</v>
      </c>
      <c r="J370" s="516">
        <v>13</v>
      </c>
      <c r="K370" s="516">
        <v>25</v>
      </c>
      <c r="L370" s="516">
        <v>1</v>
      </c>
      <c r="M370" s="517"/>
      <c r="N370" s="518">
        <v>0.4</v>
      </c>
      <c r="O370" s="518">
        <v>0.6</v>
      </c>
      <c r="P370" s="519"/>
    </row>
    <row r="371" spans="1:16" x14ac:dyDescent="0.25">
      <c r="A371" s="520" t="s">
        <v>406</v>
      </c>
      <c r="B371" s="521"/>
      <c r="C371" s="521"/>
      <c r="D371" s="521"/>
      <c r="E371" s="521"/>
      <c r="F371" s="521"/>
      <c r="G371" s="521"/>
      <c r="H371" s="521"/>
      <c r="I371" s="521"/>
      <c r="J371" s="521"/>
      <c r="K371" s="521"/>
      <c r="L371" s="521"/>
      <c r="M371" s="521"/>
      <c r="N371" s="521"/>
      <c r="O371" s="521"/>
      <c r="P371" s="522"/>
    </row>
    <row r="372" spans="1:16" x14ac:dyDescent="0.25">
      <c r="A372" s="512" t="s">
        <v>738</v>
      </c>
      <c r="B372" s="513" t="s">
        <v>739</v>
      </c>
      <c r="C372" s="514" t="s">
        <v>740</v>
      </c>
      <c r="D372" s="523" t="s">
        <v>741</v>
      </c>
      <c r="E372" s="524">
        <v>7</v>
      </c>
      <c r="F372" s="524">
        <v>5</v>
      </c>
      <c r="G372" s="516">
        <v>0</v>
      </c>
      <c r="H372" s="516">
        <v>0</v>
      </c>
      <c r="I372" s="516">
        <v>12</v>
      </c>
      <c r="J372" s="516">
        <v>13</v>
      </c>
      <c r="K372" s="516">
        <v>25</v>
      </c>
      <c r="L372" s="516">
        <v>1</v>
      </c>
      <c r="M372" s="517">
        <v>3</v>
      </c>
      <c r="N372" s="518">
        <v>0.4</v>
      </c>
      <c r="O372" s="518">
        <v>0.6</v>
      </c>
      <c r="P372" s="519" t="s">
        <v>742</v>
      </c>
    </row>
    <row r="373" spans="1:16" x14ac:dyDescent="0.25">
      <c r="A373" s="512"/>
      <c r="B373" s="513"/>
      <c r="C373" s="514" t="s">
        <v>743</v>
      </c>
      <c r="D373" s="523" t="s">
        <v>744</v>
      </c>
      <c r="E373" s="524">
        <v>7</v>
      </c>
      <c r="F373" s="524">
        <v>5</v>
      </c>
      <c r="G373" s="516">
        <v>0</v>
      </c>
      <c r="H373" s="516">
        <v>0</v>
      </c>
      <c r="I373" s="516">
        <v>12</v>
      </c>
      <c r="J373" s="516">
        <v>13</v>
      </c>
      <c r="K373" s="516">
        <v>25</v>
      </c>
      <c r="L373" s="516">
        <v>1</v>
      </c>
      <c r="M373" s="517"/>
      <c r="N373" s="518">
        <v>0.4</v>
      </c>
      <c r="O373" s="518">
        <v>0.6</v>
      </c>
      <c r="P373" s="519"/>
    </row>
    <row r="374" spans="1:16" ht="24" x14ac:dyDescent="0.25">
      <c r="A374" s="512"/>
      <c r="B374" s="513"/>
      <c r="C374" s="514" t="s">
        <v>745</v>
      </c>
      <c r="D374" s="523" t="s">
        <v>746</v>
      </c>
      <c r="E374" s="524">
        <v>7</v>
      </c>
      <c r="F374" s="524">
        <v>5</v>
      </c>
      <c r="G374" s="516">
        <v>0</v>
      </c>
      <c r="H374" s="516">
        <v>0</v>
      </c>
      <c r="I374" s="516">
        <v>12</v>
      </c>
      <c r="J374" s="516">
        <v>13</v>
      </c>
      <c r="K374" s="516">
        <v>25</v>
      </c>
      <c r="L374" s="516">
        <v>1</v>
      </c>
      <c r="M374" s="517"/>
      <c r="N374" s="518">
        <v>0.4</v>
      </c>
      <c r="O374" s="518">
        <v>0.6</v>
      </c>
      <c r="P374" s="519"/>
    </row>
    <row r="375" spans="1:16" x14ac:dyDescent="0.25">
      <c r="A375" s="512" t="s">
        <v>747</v>
      </c>
      <c r="B375" s="517" t="s">
        <v>748</v>
      </c>
      <c r="C375" s="514" t="s">
        <v>749</v>
      </c>
      <c r="D375" s="523" t="s">
        <v>750</v>
      </c>
      <c r="E375" s="523">
        <v>7</v>
      </c>
      <c r="F375" s="523">
        <v>5</v>
      </c>
      <c r="G375" s="516">
        <v>0</v>
      </c>
      <c r="H375" s="516">
        <v>0</v>
      </c>
      <c r="I375" s="516">
        <v>12</v>
      </c>
      <c r="J375" s="516">
        <v>13</v>
      </c>
      <c r="K375" s="516">
        <v>25</v>
      </c>
      <c r="L375" s="516">
        <v>1</v>
      </c>
      <c r="M375" s="517">
        <v>5</v>
      </c>
      <c r="N375" s="518">
        <v>0.4</v>
      </c>
      <c r="O375" s="518">
        <v>0.6</v>
      </c>
      <c r="P375" s="519" t="s">
        <v>664</v>
      </c>
    </row>
    <row r="376" spans="1:16" x14ac:dyDescent="0.25">
      <c r="A376" s="512"/>
      <c r="B376" s="517"/>
      <c r="C376" s="514" t="s">
        <v>751</v>
      </c>
      <c r="D376" s="523" t="s">
        <v>752</v>
      </c>
      <c r="E376" s="523">
        <v>14</v>
      </c>
      <c r="F376" s="523">
        <v>10</v>
      </c>
      <c r="G376" s="516">
        <v>0</v>
      </c>
      <c r="H376" s="516">
        <v>0</v>
      </c>
      <c r="I376" s="516">
        <v>24</v>
      </c>
      <c r="J376" s="516">
        <v>26</v>
      </c>
      <c r="K376" s="516">
        <v>50</v>
      </c>
      <c r="L376" s="516">
        <v>2</v>
      </c>
      <c r="M376" s="517"/>
      <c r="N376" s="518">
        <v>0.4</v>
      </c>
      <c r="O376" s="518">
        <v>0.6</v>
      </c>
      <c r="P376" s="519"/>
    </row>
    <row r="377" spans="1:16" ht="24" x14ac:dyDescent="0.25">
      <c r="A377" s="512"/>
      <c r="B377" s="517"/>
      <c r="C377" s="514" t="s">
        <v>753</v>
      </c>
      <c r="D377" s="523" t="s">
        <v>754</v>
      </c>
      <c r="E377" s="524">
        <v>4</v>
      </c>
      <c r="F377" s="524">
        <v>10</v>
      </c>
      <c r="G377" s="516">
        <v>0</v>
      </c>
      <c r="H377" s="516">
        <v>0</v>
      </c>
      <c r="I377" s="516">
        <v>24</v>
      </c>
      <c r="J377" s="516">
        <v>26</v>
      </c>
      <c r="K377" s="516">
        <v>50</v>
      </c>
      <c r="L377" s="516">
        <v>2</v>
      </c>
      <c r="M377" s="517"/>
      <c r="N377" s="518">
        <v>0.4</v>
      </c>
      <c r="O377" s="518">
        <v>0.6</v>
      </c>
      <c r="P377" s="519"/>
    </row>
    <row r="378" spans="1:16" ht="24" x14ac:dyDescent="0.25">
      <c r="A378" s="512" t="s">
        <v>755</v>
      </c>
      <c r="B378" s="513" t="s">
        <v>756</v>
      </c>
      <c r="C378" s="514" t="s">
        <v>757</v>
      </c>
      <c r="D378" s="523" t="s">
        <v>758</v>
      </c>
      <c r="E378" s="524">
        <v>4</v>
      </c>
      <c r="F378" s="524">
        <v>10</v>
      </c>
      <c r="G378" s="516">
        <v>0</v>
      </c>
      <c r="H378" s="516">
        <v>0</v>
      </c>
      <c r="I378" s="516">
        <v>24</v>
      </c>
      <c r="J378" s="516">
        <v>26</v>
      </c>
      <c r="K378" s="516">
        <v>50</v>
      </c>
      <c r="L378" s="516">
        <v>2</v>
      </c>
      <c r="M378" s="517">
        <v>5</v>
      </c>
      <c r="N378" s="518">
        <v>0.4</v>
      </c>
      <c r="O378" s="518">
        <v>0.6</v>
      </c>
      <c r="P378" s="519" t="s">
        <v>642</v>
      </c>
    </row>
    <row r="379" spans="1:16" ht="24" x14ac:dyDescent="0.25">
      <c r="A379" s="512"/>
      <c r="B379" s="513"/>
      <c r="C379" s="514" t="s">
        <v>759</v>
      </c>
      <c r="D379" s="523" t="s">
        <v>760</v>
      </c>
      <c r="E379" s="524">
        <v>14</v>
      </c>
      <c r="F379" s="524">
        <v>10</v>
      </c>
      <c r="G379" s="516">
        <v>0</v>
      </c>
      <c r="H379" s="516">
        <v>0</v>
      </c>
      <c r="I379" s="516">
        <v>24</v>
      </c>
      <c r="J379" s="516">
        <v>26</v>
      </c>
      <c r="K379" s="516">
        <v>50</v>
      </c>
      <c r="L379" s="516">
        <v>2</v>
      </c>
      <c r="M379" s="517"/>
      <c r="N379" s="518">
        <v>0.4</v>
      </c>
      <c r="O379" s="518">
        <v>0.6</v>
      </c>
      <c r="P379" s="519"/>
    </row>
    <row r="380" spans="1:16" x14ac:dyDescent="0.25">
      <c r="A380" s="512"/>
      <c r="B380" s="513"/>
      <c r="C380" s="514" t="s">
        <v>761</v>
      </c>
      <c r="D380" s="523" t="s">
        <v>762</v>
      </c>
      <c r="E380" s="524">
        <v>8</v>
      </c>
      <c r="F380" s="524">
        <v>4</v>
      </c>
      <c r="G380" s="516">
        <v>0</v>
      </c>
      <c r="H380" s="516">
        <v>0</v>
      </c>
      <c r="I380" s="516">
        <v>12</v>
      </c>
      <c r="J380" s="516">
        <v>13</v>
      </c>
      <c r="K380" s="516">
        <v>25</v>
      </c>
      <c r="L380" s="516">
        <v>1</v>
      </c>
      <c r="M380" s="517"/>
      <c r="N380" s="518">
        <v>0.4</v>
      </c>
      <c r="O380" s="518">
        <v>0.6</v>
      </c>
      <c r="P380" s="519"/>
    </row>
    <row r="381" spans="1:16" x14ac:dyDescent="0.25">
      <c r="A381" s="525" t="s">
        <v>763</v>
      </c>
      <c r="B381" s="513" t="s">
        <v>764</v>
      </c>
      <c r="C381" s="514" t="s">
        <v>765</v>
      </c>
      <c r="D381" s="523" t="s">
        <v>766</v>
      </c>
      <c r="E381" s="524">
        <v>14</v>
      </c>
      <c r="F381" s="524">
        <v>10</v>
      </c>
      <c r="G381" s="516">
        <v>0</v>
      </c>
      <c r="H381" s="516">
        <v>0</v>
      </c>
      <c r="I381" s="516">
        <v>24</v>
      </c>
      <c r="J381" s="516">
        <v>26</v>
      </c>
      <c r="K381" s="516">
        <v>50</v>
      </c>
      <c r="L381" s="516">
        <v>2</v>
      </c>
      <c r="M381" s="517">
        <v>4</v>
      </c>
      <c r="N381" s="518">
        <v>0.4</v>
      </c>
      <c r="O381" s="518">
        <v>0.6</v>
      </c>
      <c r="P381" s="519" t="s">
        <v>767</v>
      </c>
    </row>
    <row r="382" spans="1:16" x14ac:dyDescent="0.25">
      <c r="A382" s="525"/>
      <c r="B382" s="513"/>
      <c r="C382" s="514" t="s">
        <v>768</v>
      </c>
      <c r="D382" s="523" t="s">
        <v>769</v>
      </c>
      <c r="E382" s="524">
        <v>14</v>
      </c>
      <c r="F382" s="524">
        <v>10</v>
      </c>
      <c r="G382" s="516">
        <v>0</v>
      </c>
      <c r="H382" s="516">
        <v>0</v>
      </c>
      <c r="I382" s="516">
        <v>24</v>
      </c>
      <c r="J382" s="516">
        <v>26</v>
      </c>
      <c r="K382" s="516">
        <v>50</v>
      </c>
      <c r="L382" s="516">
        <v>2</v>
      </c>
      <c r="M382" s="517"/>
      <c r="N382" s="518">
        <v>0.4</v>
      </c>
      <c r="O382" s="518">
        <v>0.6</v>
      </c>
      <c r="P382" s="519"/>
    </row>
    <row r="383" spans="1:16" x14ac:dyDescent="0.25">
      <c r="A383" s="520" t="s">
        <v>62</v>
      </c>
      <c r="B383" s="521"/>
      <c r="C383" s="521"/>
      <c r="D383" s="521"/>
      <c r="E383" s="521"/>
      <c r="F383" s="521"/>
      <c r="G383" s="521"/>
      <c r="H383" s="521"/>
      <c r="I383" s="521"/>
      <c r="J383" s="521"/>
      <c r="K383" s="521"/>
      <c r="L383" s="521"/>
      <c r="M383" s="521"/>
      <c r="N383" s="521"/>
      <c r="O383" s="521"/>
      <c r="P383" s="522"/>
    </row>
    <row r="384" spans="1:16" ht="24" x14ac:dyDescent="0.25">
      <c r="A384" s="526" t="s">
        <v>770</v>
      </c>
      <c r="B384" s="515" t="s">
        <v>771</v>
      </c>
      <c r="C384" s="514" t="s">
        <v>770</v>
      </c>
      <c r="D384" s="515" t="s">
        <v>771</v>
      </c>
      <c r="E384" s="516">
        <v>0</v>
      </c>
      <c r="F384" s="516">
        <v>24</v>
      </c>
      <c r="G384" s="516">
        <v>0</v>
      </c>
      <c r="H384" s="516">
        <v>0</v>
      </c>
      <c r="I384" s="516">
        <v>24</v>
      </c>
      <c r="J384" s="516">
        <v>26</v>
      </c>
      <c r="K384" s="516">
        <v>50</v>
      </c>
      <c r="L384" s="516">
        <v>2</v>
      </c>
      <c r="M384" s="514">
        <v>2</v>
      </c>
      <c r="N384" s="518">
        <v>0.4</v>
      </c>
      <c r="O384" s="518">
        <v>0.6</v>
      </c>
      <c r="P384" s="527" t="s">
        <v>642</v>
      </c>
    </row>
    <row r="385" spans="1:16" x14ac:dyDescent="0.25">
      <c r="A385" s="520" t="s">
        <v>67</v>
      </c>
      <c r="B385" s="521"/>
      <c r="C385" s="521"/>
      <c r="D385" s="521"/>
      <c r="E385" s="521"/>
      <c r="F385" s="521"/>
      <c r="G385" s="521"/>
      <c r="H385" s="521"/>
      <c r="I385" s="521"/>
      <c r="J385" s="521"/>
      <c r="K385" s="521"/>
      <c r="L385" s="521"/>
      <c r="M385" s="521"/>
      <c r="N385" s="521"/>
      <c r="O385" s="521"/>
      <c r="P385" s="522"/>
    </row>
    <row r="386" spans="1:16" ht="24" x14ac:dyDescent="0.25">
      <c r="A386" s="528" t="s">
        <v>772</v>
      </c>
      <c r="B386" s="529" t="s">
        <v>674</v>
      </c>
      <c r="C386" s="530" t="s">
        <v>772</v>
      </c>
      <c r="D386" s="531" t="s">
        <v>674</v>
      </c>
      <c r="E386" s="530">
        <v>0</v>
      </c>
      <c r="F386" s="530">
        <v>24</v>
      </c>
      <c r="G386" s="530">
        <v>0</v>
      </c>
      <c r="H386" s="530">
        <v>0</v>
      </c>
      <c r="I386" s="530">
        <v>24</v>
      </c>
      <c r="J386" s="530">
        <v>26</v>
      </c>
      <c r="K386" s="530">
        <v>50</v>
      </c>
      <c r="L386" s="530">
        <v>2</v>
      </c>
      <c r="M386" s="530">
        <v>2</v>
      </c>
      <c r="N386" s="518">
        <v>0.4</v>
      </c>
      <c r="O386" s="518">
        <v>0.6</v>
      </c>
      <c r="P386" s="527" t="s">
        <v>676</v>
      </c>
    </row>
    <row r="387" spans="1:16" ht="15.75" thickBot="1" x14ac:dyDescent="0.3">
      <c r="A387" s="506" t="s">
        <v>773</v>
      </c>
      <c r="B387" s="507"/>
      <c r="C387" s="507"/>
      <c r="D387" s="507"/>
      <c r="E387" s="508">
        <f>E365+E366+E367+E368+E369+E370+E372+E373+E374+E375+E376+E377+E378+E379+E380+E381+E382+E384+E386</f>
        <v>185</v>
      </c>
      <c r="F387" s="508">
        <f t="shared" ref="F387:M387" si="11">F365+F366+F367+F368+F369+F370+F372+F373+F374+F375+F376+F377+F378+F379+F380+F381+F382+F384+F386</f>
        <v>155</v>
      </c>
      <c r="G387" s="508">
        <f t="shared" si="11"/>
        <v>0</v>
      </c>
      <c r="H387" s="508">
        <f t="shared" si="11"/>
        <v>0</v>
      </c>
      <c r="I387" s="508">
        <f t="shared" si="11"/>
        <v>360</v>
      </c>
      <c r="J387" s="508">
        <f t="shared" si="11"/>
        <v>390</v>
      </c>
      <c r="K387" s="508">
        <f t="shared" si="11"/>
        <v>750</v>
      </c>
      <c r="L387" s="508">
        <f t="shared" si="11"/>
        <v>30</v>
      </c>
      <c r="M387" s="508">
        <f t="shared" si="11"/>
        <v>30</v>
      </c>
      <c r="N387" s="508"/>
      <c r="O387" s="508"/>
      <c r="P387" s="509"/>
    </row>
    <row r="388" spans="1:16" x14ac:dyDescent="0.25">
      <c r="A388" s="532"/>
      <c r="B388" s="533"/>
      <c r="C388" s="534"/>
      <c r="D388" s="535"/>
      <c r="E388" s="536"/>
      <c r="F388" s="536"/>
      <c r="G388" s="536"/>
      <c r="H388" s="536"/>
      <c r="I388" s="536"/>
      <c r="J388" s="536"/>
      <c r="K388" s="536"/>
      <c r="L388" s="536"/>
      <c r="M388" s="536"/>
      <c r="N388" s="536"/>
      <c r="O388" s="536"/>
      <c r="P388" s="536"/>
    </row>
    <row r="389" spans="1:16" x14ac:dyDescent="0.25">
      <c r="A389" s="532"/>
      <c r="B389" s="533"/>
      <c r="C389" s="534"/>
      <c r="D389" s="535"/>
      <c r="E389" s="536"/>
      <c r="F389" s="536"/>
      <c r="G389" s="536"/>
      <c r="H389" s="536"/>
      <c r="I389" s="536"/>
      <c r="J389" s="536"/>
      <c r="K389" s="536"/>
      <c r="L389" s="536"/>
      <c r="M389" s="536"/>
      <c r="N389" s="534"/>
      <c r="O389" s="534"/>
      <c r="P389" s="536"/>
    </row>
    <row r="390" spans="1:16" x14ac:dyDescent="0.25">
      <c r="A390" s="532"/>
      <c r="B390" s="533"/>
      <c r="C390" s="534"/>
      <c r="D390" s="535"/>
      <c r="E390" s="536"/>
      <c r="F390" s="536"/>
      <c r="G390" s="536"/>
      <c r="H390" s="536"/>
      <c r="I390" s="536"/>
      <c r="J390" s="536"/>
      <c r="K390" s="536"/>
      <c r="L390" s="536"/>
      <c r="M390" s="536"/>
      <c r="N390" s="534"/>
      <c r="O390" s="534"/>
      <c r="P390" s="536"/>
    </row>
    <row r="391" spans="1:16" x14ac:dyDescent="0.25">
      <c r="A391" s="532"/>
      <c r="B391" s="533"/>
      <c r="C391" s="534"/>
      <c r="D391" s="511" t="s">
        <v>774</v>
      </c>
      <c r="E391" s="536"/>
      <c r="F391" s="536"/>
      <c r="G391" s="536"/>
      <c r="H391" s="536"/>
      <c r="I391" s="536"/>
      <c r="J391" s="536"/>
      <c r="K391" s="536"/>
      <c r="L391" s="536"/>
      <c r="M391" s="536"/>
      <c r="N391" s="534"/>
      <c r="O391" s="534"/>
      <c r="P391" s="536"/>
    </row>
    <row r="392" spans="1:16" ht="15.75" thickBot="1" x14ac:dyDescent="0.3">
      <c r="A392" s="532"/>
      <c r="B392" s="533"/>
      <c r="C392" s="534"/>
      <c r="D392" s="535"/>
      <c r="E392" s="536"/>
      <c r="F392" s="536"/>
      <c r="G392" s="536"/>
      <c r="H392" s="536"/>
      <c r="I392" s="536"/>
      <c r="J392" s="536"/>
      <c r="K392" s="536"/>
      <c r="L392" s="536"/>
      <c r="M392" s="536"/>
      <c r="N392" s="534"/>
      <c r="O392" s="534"/>
      <c r="P392" s="536"/>
    </row>
    <row r="393" spans="1:16" x14ac:dyDescent="0.25">
      <c r="A393" s="475"/>
      <c r="B393" s="476" t="s">
        <v>248</v>
      </c>
      <c r="C393" s="476"/>
      <c r="D393" s="476"/>
      <c r="E393" s="476" t="s">
        <v>249</v>
      </c>
      <c r="F393" s="476"/>
      <c r="G393" s="476"/>
      <c r="H393" s="476"/>
      <c r="I393" s="476"/>
      <c r="J393" s="476"/>
      <c r="K393" s="476"/>
      <c r="L393" s="477" t="s">
        <v>250</v>
      </c>
      <c r="M393" s="360" t="s">
        <v>251</v>
      </c>
      <c r="N393" s="478" t="s">
        <v>11</v>
      </c>
      <c r="O393" s="478"/>
      <c r="P393" s="7" t="s">
        <v>12</v>
      </c>
    </row>
    <row r="394" spans="1:16" x14ac:dyDescent="0.25">
      <c r="A394" s="479" t="s">
        <v>252</v>
      </c>
      <c r="B394" s="480" t="s">
        <v>253</v>
      </c>
      <c r="C394" s="481" t="s">
        <v>254</v>
      </c>
      <c r="D394" s="482" t="s">
        <v>16</v>
      </c>
      <c r="E394" s="482" t="s">
        <v>255</v>
      </c>
      <c r="F394" s="482" t="s">
        <v>18</v>
      </c>
      <c r="G394" s="482" t="s">
        <v>19</v>
      </c>
      <c r="H394" s="482" t="s">
        <v>20</v>
      </c>
      <c r="I394" s="10" t="s">
        <v>21</v>
      </c>
      <c r="J394" s="482" t="s">
        <v>22</v>
      </c>
      <c r="K394" s="482" t="s">
        <v>23</v>
      </c>
      <c r="L394" s="483"/>
      <c r="M394" s="484"/>
      <c r="N394" s="12" t="s">
        <v>24</v>
      </c>
      <c r="O394" s="12" t="s">
        <v>25</v>
      </c>
      <c r="P394" s="13"/>
    </row>
    <row r="395" spans="1:16" x14ac:dyDescent="0.25">
      <c r="A395" s="485"/>
      <c r="B395" s="486"/>
      <c r="C395" s="486"/>
      <c r="D395" s="486"/>
      <c r="E395" s="486"/>
      <c r="F395" s="486"/>
      <c r="G395" s="486"/>
      <c r="H395" s="486"/>
      <c r="I395" s="486"/>
      <c r="J395" s="486"/>
      <c r="K395" s="486"/>
      <c r="L395" s="486"/>
      <c r="M395" s="486"/>
      <c r="N395" s="496"/>
      <c r="O395" s="496"/>
      <c r="P395" s="488"/>
    </row>
    <row r="396" spans="1:16" ht="24.75" thickBot="1" x14ac:dyDescent="0.3">
      <c r="A396" s="537" t="s">
        <v>775</v>
      </c>
      <c r="B396" s="538" t="s">
        <v>776</v>
      </c>
      <c r="C396" s="539" t="s">
        <v>775</v>
      </c>
      <c r="D396" s="540" t="s">
        <v>777</v>
      </c>
      <c r="E396" s="541"/>
      <c r="F396" s="541">
        <v>360</v>
      </c>
      <c r="G396" s="542"/>
      <c r="H396" s="542"/>
      <c r="I396" s="542">
        <v>360</v>
      </c>
      <c r="J396" s="542">
        <v>390</v>
      </c>
      <c r="K396" s="542">
        <v>750</v>
      </c>
      <c r="L396" s="542">
        <v>30</v>
      </c>
      <c r="M396" s="543">
        <v>30</v>
      </c>
      <c r="N396" s="544"/>
      <c r="O396" s="544"/>
      <c r="P396" s="545"/>
    </row>
    <row r="423" spans="1:16" ht="10.5" customHeight="1" x14ac:dyDescent="0.25">
      <c r="A423" s="546"/>
      <c r="B423" s="473"/>
      <c r="C423" s="547"/>
      <c r="D423" s="511" t="s">
        <v>0</v>
      </c>
      <c r="E423" s="546"/>
      <c r="F423" s="546"/>
      <c r="G423" s="546"/>
      <c r="H423" s="548"/>
      <c r="I423" s="549"/>
      <c r="J423" s="546"/>
      <c r="K423" s="548"/>
      <c r="L423" s="548"/>
      <c r="M423" s="548"/>
      <c r="N423" s="548"/>
      <c r="O423" s="548"/>
      <c r="P423" s="546"/>
    </row>
    <row r="424" spans="1:16" ht="10.5" customHeight="1" x14ac:dyDescent="0.25">
      <c r="A424" s="546"/>
      <c r="B424" s="550"/>
      <c r="C424" s="547"/>
      <c r="D424" s="511" t="s">
        <v>1</v>
      </c>
      <c r="E424" s="546"/>
      <c r="F424" s="546"/>
      <c r="G424" s="546"/>
      <c r="H424" s="548"/>
      <c r="I424" s="549"/>
      <c r="J424" s="546"/>
      <c r="K424" s="548"/>
      <c r="L424" s="548"/>
      <c r="M424" s="548"/>
      <c r="N424" s="548"/>
      <c r="O424" s="548"/>
      <c r="P424" s="546"/>
    </row>
    <row r="425" spans="1:16" ht="10.5" customHeight="1" x14ac:dyDescent="0.25">
      <c r="A425" s="548"/>
      <c r="B425" s="473"/>
      <c r="C425" s="473"/>
      <c r="D425" s="511" t="s">
        <v>616</v>
      </c>
      <c r="E425" s="548"/>
      <c r="F425" s="548"/>
      <c r="G425" s="548"/>
      <c r="H425" s="548"/>
      <c r="I425" s="473"/>
      <c r="J425" s="548"/>
      <c r="K425" s="548"/>
      <c r="L425" s="548"/>
      <c r="M425" s="548"/>
      <c r="N425" s="548"/>
      <c r="O425" s="548"/>
      <c r="P425" s="551"/>
    </row>
    <row r="426" spans="1:16" ht="10.5" customHeight="1" x14ac:dyDescent="0.25">
      <c r="A426" s="548"/>
      <c r="B426" s="473"/>
      <c r="C426" s="473"/>
      <c r="D426" s="511" t="s">
        <v>778</v>
      </c>
      <c r="E426" s="548"/>
      <c r="F426" s="548"/>
      <c r="G426" s="548"/>
      <c r="H426" s="548"/>
      <c r="I426" s="473"/>
      <c r="J426" s="548"/>
      <c r="K426" s="548"/>
      <c r="L426" s="548"/>
      <c r="M426" s="548"/>
      <c r="N426" s="548"/>
      <c r="O426" s="548"/>
      <c r="P426" s="552"/>
    </row>
    <row r="427" spans="1:16" ht="10.5" customHeight="1" x14ac:dyDescent="0.25">
      <c r="A427" s="548"/>
      <c r="B427" s="473"/>
      <c r="C427" s="473"/>
      <c r="D427" s="553" t="s">
        <v>779</v>
      </c>
      <c r="E427" s="548"/>
      <c r="F427" s="548"/>
      <c r="G427" s="548"/>
      <c r="H427" s="548"/>
      <c r="I427" s="473"/>
      <c r="J427" s="548"/>
      <c r="K427" s="548"/>
      <c r="L427" s="548"/>
      <c r="M427" s="548"/>
      <c r="N427" s="548"/>
      <c r="O427" s="548"/>
      <c r="P427" s="552"/>
    </row>
    <row r="428" spans="1:16" ht="10.5" customHeight="1" x14ac:dyDescent="0.25">
      <c r="A428" s="548"/>
      <c r="B428" s="473"/>
      <c r="C428" s="473"/>
      <c r="D428" s="511" t="s">
        <v>780</v>
      </c>
      <c r="E428" s="548"/>
      <c r="F428" s="548"/>
      <c r="G428" s="548"/>
      <c r="H428" s="548"/>
      <c r="I428" s="473"/>
      <c r="J428" s="548"/>
      <c r="K428" s="548"/>
      <c r="L428" s="548"/>
      <c r="M428" s="548"/>
      <c r="N428" s="548"/>
      <c r="O428" s="548"/>
      <c r="P428" s="552"/>
    </row>
    <row r="429" spans="1:16" ht="10.5" customHeight="1" thickBot="1" x14ac:dyDescent="0.3">
      <c r="A429" s="548"/>
      <c r="B429" s="473"/>
      <c r="C429" s="473"/>
      <c r="D429" s="511" t="s">
        <v>781</v>
      </c>
      <c r="E429" s="548"/>
      <c r="F429" s="548"/>
      <c r="G429" s="548"/>
      <c r="H429" s="548"/>
      <c r="I429" s="473"/>
      <c r="J429" s="548"/>
      <c r="K429" s="548"/>
      <c r="L429" s="548"/>
      <c r="M429" s="548"/>
      <c r="N429" s="548"/>
      <c r="O429" s="548"/>
      <c r="P429" s="552"/>
    </row>
    <row r="430" spans="1:16" x14ac:dyDescent="0.25">
      <c r="A430" s="554" t="s">
        <v>248</v>
      </c>
      <c r="B430" s="554"/>
      <c r="C430" s="554"/>
      <c r="D430" s="555"/>
      <c r="E430" s="556" t="s">
        <v>249</v>
      </c>
      <c r="F430" s="556"/>
      <c r="G430" s="556"/>
      <c r="H430" s="556"/>
      <c r="I430" s="556"/>
      <c r="J430" s="556"/>
      <c r="K430" s="556"/>
      <c r="L430" s="420" t="s">
        <v>250</v>
      </c>
      <c r="M430" s="294" t="s">
        <v>251</v>
      </c>
      <c r="N430" s="42" t="s">
        <v>11</v>
      </c>
      <c r="O430" s="42"/>
      <c r="P430" s="294" t="s">
        <v>12</v>
      </c>
    </row>
    <row r="431" spans="1:16" ht="19.5" customHeight="1" thickBot="1" x14ac:dyDescent="0.3">
      <c r="A431" s="557" t="s">
        <v>252</v>
      </c>
      <c r="B431" s="558" t="s">
        <v>253</v>
      </c>
      <c r="C431" s="559" t="s">
        <v>254</v>
      </c>
      <c r="D431" s="467" t="s">
        <v>16</v>
      </c>
      <c r="E431" s="467" t="s">
        <v>255</v>
      </c>
      <c r="F431" s="467" t="s">
        <v>18</v>
      </c>
      <c r="G431" s="467" t="s">
        <v>19</v>
      </c>
      <c r="H431" s="467" t="s">
        <v>20</v>
      </c>
      <c r="I431" s="714" t="s">
        <v>21</v>
      </c>
      <c r="J431" s="467" t="s">
        <v>22</v>
      </c>
      <c r="K431" s="467" t="s">
        <v>23</v>
      </c>
      <c r="L431" s="466"/>
      <c r="M431" s="299"/>
      <c r="N431" s="560" t="s">
        <v>24</v>
      </c>
      <c r="O431" s="560" t="s">
        <v>25</v>
      </c>
      <c r="P431" s="299"/>
    </row>
    <row r="432" spans="1:16" ht="10.5" customHeight="1" thickBot="1" x14ac:dyDescent="0.3">
      <c r="A432" s="561" t="s">
        <v>26</v>
      </c>
      <c r="B432" s="562"/>
      <c r="C432" s="562"/>
      <c r="D432" s="562"/>
      <c r="E432" s="562"/>
      <c r="F432" s="562"/>
      <c r="G432" s="562"/>
      <c r="H432" s="562"/>
      <c r="I432" s="562"/>
      <c r="J432" s="562"/>
      <c r="K432" s="562"/>
      <c r="L432" s="562"/>
      <c r="M432" s="562"/>
      <c r="N432" s="562"/>
      <c r="O432" s="562"/>
      <c r="P432" s="562"/>
    </row>
    <row r="433" spans="1:16" ht="24" thickBot="1" x14ac:dyDescent="0.3">
      <c r="A433" s="563" t="s">
        <v>782</v>
      </c>
      <c r="B433" s="564" t="s">
        <v>783</v>
      </c>
      <c r="C433" s="565" t="s">
        <v>784</v>
      </c>
      <c r="D433" s="566" t="s">
        <v>785</v>
      </c>
      <c r="E433" s="567">
        <v>12</v>
      </c>
      <c r="F433" s="567">
        <v>0</v>
      </c>
      <c r="G433" s="567">
        <v>0</v>
      </c>
      <c r="H433" s="567">
        <v>0</v>
      </c>
      <c r="I433" s="567">
        <v>12</v>
      </c>
      <c r="J433" s="567">
        <v>13</v>
      </c>
      <c r="K433" s="567">
        <v>25</v>
      </c>
      <c r="L433" s="567">
        <v>1</v>
      </c>
      <c r="M433" s="568">
        <v>6</v>
      </c>
      <c r="N433" s="569">
        <v>0.4</v>
      </c>
      <c r="O433" s="569">
        <v>0.6</v>
      </c>
      <c r="P433" s="570" t="s">
        <v>786</v>
      </c>
    </row>
    <row r="434" spans="1:16" ht="12.75" customHeight="1" thickBot="1" x14ac:dyDescent="0.3">
      <c r="A434" s="563"/>
      <c r="B434" s="564"/>
      <c r="C434" s="571" t="s">
        <v>787</v>
      </c>
      <c r="D434" s="572" t="s">
        <v>788</v>
      </c>
      <c r="E434" s="567">
        <v>24</v>
      </c>
      <c r="F434" s="567">
        <v>0</v>
      </c>
      <c r="G434" s="567">
        <v>12</v>
      </c>
      <c r="H434" s="567">
        <v>12</v>
      </c>
      <c r="I434" s="567">
        <v>48</v>
      </c>
      <c r="J434" s="567">
        <v>52</v>
      </c>
      <c r="K434" s="567">
        <v>100</v>
      </c>
      <c r="L434" s="567">
        <v>4</v>
      </c>
      <c r="M434" s="568"/>
      <c r="N434" s="569">
        <v>0.4</v>
      </c>
      <c r="O434" s="569">
        <v>0.6</v>
      </c>
      <c r="P434" s="570"/>
    </row>
    <row r="435" spans="1:16" ht="12.75" customHeight="1" thickBot="1" x14ac:dyDescent="0.3">
      <c r="A435" s="563"/>
      <c r="B435" s="564"/>
      <c r="C435" s="571" t="s">
        <v>789</v>
      </c>
      <c r="D435" s="572" t="s">
        <v>790</v>
      </c>
      <c r="E435" s="447">
        <v>12</v>
      </c>
      <c r="F435" s="447">
        <v>0</v>
      </c>
      <c r="G435" s="447">
        <v>0</v>
      </c>
      <c r="H435" s="447">
        <v>0</v>
      </c>
      <c r="I435" s="447">
        <v>12</v>
      </c>
      <c r="J435" s="447">
        <v>13</v>
      </c>
      <c r="K435" s="447">
        <v>25</v>
      </c>
      <c r="L435" s="447">
        <v>1</v>
      </c>
      <c r="M435" s="573"/>
      <c r="N435" s="569">
        <v>0.4</v>
      </c>
      <c r="O435" s="569">
        <v>0.6</v>
      </c>
      <c r="P435" s="574"/>
    </row>
    <row r="436" spans="1:16" ht="11.25" customHeight="1" thickBot="1" x14ac:dyDescent="0.3">
      <c r="A436" s="575" t="s">
        <v>791</v>
      </c>
      <c r="B436" s="576" t="s">
        <v>792</v>
      </c>
      <c r="C436" s="571" t="s">
        <v>793</v>
      </c>
      <c r="D436" s="572" t="s">
        <v>792</v>
      </c>
      <c r="E436" s="577">
        <v>6</v>
      </c>
      <c r="F436" s="577">
        <v>0</v>
      </c>
      <c r="G436" s="577">
        <v>6</v>
      </c>
      <c r="H436" s="577">
        <v>0</v>
      </c>
      <c r="I436" s="577">
        <v>12</v>
      </c>
      <c r="J436" s="577">
        <v>13</v>
      </c>
      <c r="K436" s="577">
        <v>25</v>
      </c>
      <c r="L436" s="577">
        <v>1</v>
      </c>
      <c r="M436" s="578">
        <v>5</v>
      </c>
      <c r="N436" s="569">
        <v>0.4</v>
      </c>
      <c r="O436" s="569">
        <v>0.6</v>
      </c>
      <c r="P436" s="579" t="s">
        <v>355</v>
      </c>
    </row>
    <row r="437" spans="1:16" ht="11.25" customHeight="1" thickBot="1" x14ac:dyDescent="0.3">
      <c r="A437" s="575"/>
      <c r="B437" s="576"/>
      <c r="C437" s="571" t="s">
        <v>794</v>
      </c>
      <c r="D437" s="572" t="s">
        <v>795</v>
      </c>
      <c r="E437" s="577">
        <v>12</v>
      </c>
      <c r="F437" s="577">
        <v>0</v>
      </c>
      <c r="G437" s="577">
        <v>8</v>
      </c>
      <c r="H437" s="577">
        <v>4</v>
      </c>
      <c r="I437" s="577">
        <v>24</v>
      </c>
      <c r="J437" s="577">
        <v>26</v>
      </c>
      <c r="K437" s="577">
        <v>50</v>
      </c>
      <c r="L437" s="577">
        <v>2</v>
      </c>
      <c r="M437" s="568"/>
      <c r="N437" s="569">
        <v>0.4</v>
      </c>
      <c r="O437" s="569">
        <v>0.6</v>
      </c>
      <c r="P437" s="327"/>
    </row>
    <row r="438" spans="1:16" ht="14.25" customHeight="1" thickBot="1" x14ac:dyDescent="0.3">
      <c r="A438" s="575"/>
      <c r="B438" s="576"/>
      <c r="C438" s="571" t="s">
        <v>796</v>
      </c>
      <c r="D438" s="572" t="s">
        <v>797</v>
      </c>
      <c r="E438" s="567">
        <v>16</v>
      </c>
      <c r="F438" s="567">
        <v>0</v>
      </c>
      <c r="G438" s="567">
        <v>0</v>
      </c>
      <c r="H438" s="567">
        <v>8</v>
      </c>
      <c r="I438" s="567">
        <v>24</v>
      </c>
      <c r="J438" s="567">
        <v>26</v>
      </c>
      <c r="K438" s="567">
        <v>50</v>
      </c>
      <c r="L438" s="567">
        <v>2</v>
      </c>
      <c r="M438" s="573"/>
      <c r="N438" s="569">
        <v>0.4</v>
      </c>
      <c r="O438" s="569">
        <v>0.6</v>
      </c>
      <c r="P438" s="570"/>
    </row>
    <row r="439" spans="1:16" ht="10.5" customHeight="1" thickBot="1" x14ac:dyDescent="0.3">
      <c r="A439" s="575" t="s">
        <v>798</v>
      </c>
      <c r="B439" s="580" t="s">
        <v>799</v>
      </c>
      <c r="C439" s="571" t="s">
        <v>800</v>
      </c>
      <c r="D439" s="572" t="s">
        <v>801</v>
      </c>
      <c r="E439" s="577">
        <v>12</v>
      </c>
      <c r="F439" s="577">
        <v>0</v>
      </c>
      <c r="G439" s="577">
        <v>0</v>
      </c>
      <c r="H439" s="577">
        <v>0</v>
      </c>
      <c r="I439" s="577">
        <v>12</v>
      </c>
      <c r="J439" s="577">
        <v>13</v>
      </c>
      <c r="K439" s="577">
        <v>25</v>
      </c>
      <c r="L439" s="577">
        <v>1</v>
      </c>
      <c r="M439" s="578">
        <v>2</v>
      </c>
      <c r="N439" s="569">
        <v>0.4</v>
      </c>
      <c r="O439" s="569">
        <v>0.6</v>
      </c>
      <c r="P439" s="579" t="s">
        <v>802</v>
      </c>
    </row>
    <row r="440" spans="1:16" ht="13.5" customHeight="1" thickBot="1" x14ac:dyDescent="0.3">
      <c r="A440" s="575"/>
      <c r="B440" s="580"/>
      <c r="C440" s="571" t="s">
        <v>803</v>
      </c>
      <c r="D440" s="572" t="s">
        <v>804</v>
      </c>
      <c r="E440" s="567">
        <v>12</v>
      </c>
      <c r="F440" s="567">
        <v>0</v>
      </c>
      <c r="G440" s="567">
        <v>0</v>
      </c>
      <c r="H440" s="567">
        <v>0</v>
      </c>
      <c r="I440" s="567">
        <v>12</v>
      </c>
      <c r="J440" s="567">
        <v>13</v>
      </c>
      <c r="K440" s="567">
        <v>25</v>
      </c>
      <c r="L440" s="567">
        <v>1</v>
      </c>
      <c r="M440" s="573"/>
      <c r="N440" s="569">
        <v>0.4</v>
      </c>
      <c r="O440" s="569">
        <v>0.6</v>
      </c>
      <c r="P440" s="570"/>
    </row>
    <row r="441" spans="1:16" ht="21.75" customHeight="1" thickBot="1" x14ac:dyDescent="0.3">
      <c r="A441" s="575" t="s">
        <v>805</v>
      </c>
      <c r="B441" s="581" t="s">
        <v>806</v>
      </c>
      <c r="C441" s="571" t="s">
        <v>807</v>
      </c>
      <c r="D441" s="572" t="s">
        <v>808</v>
      </c>
      <c r="E441" s="577">
        <v>12</v>
      </c>
      <c r="F441" s="577">
        <v>4</v>
      </c>
      <c r="G441" s="577">
        <v>8</v>
      </c>
      <c r="H441" s="577">
        <v>0</v>
      </c>
      <c r="I441" s="577">
        <v>24</v>
      </c>
      <c r="J441" s="577">
        <v>26</v>
      </c>
      <c r="K441" s="577">
        <v>50</v>
      </c>
      <c r="L441" s="577">
        <v>2</v>
      </c>
      <c r="M441" s="578">
        <v>6</v>
      </c>
      <c r="N441" s="569">
        <v>0.4</v>
      </c>
      <c r="O441" s="569">
        <v>0.6</v>
      </c>
      <c r="P441" s="579" t="s">
        <v>355</v>
      </c>
    </row>
    <row r="442" spans="1:16" ht="22.5" customHeight="1" thickBot="1" x14ac:dyDescent="0.3">
      <c r="A442" s="575"/>
      <c r="B442" s="581"/>
      <c r="C442" s="571" t="s">
        <v>809</v>
      </c>
      <c r="D442" s="572" t="s">
        <v>810</v>
      </c>
      <c r="E442" s="577">
        <v>12</v>
      </c>
      <c r="F442" s="577">
        <v>4</v>
      </c>
      <c r="G442" s="577">
        <v>8</v>
      </c>
      <c r="H442" s="577">
        <v>0</v>
      </c>
      <c r="I442" s="577">
        <v>24</v>
      </c>
      <c r="J442" s="577">
        <v>26</v>
      </c>
      <c r="K442" s="577">
        <v>50</v>
      </c>
      <c r="L442" s="577">
        <v>2</v>
      </c>
      <c r="M442" s="568"/>
      <c r="N442" s="569">
        <v>0.4</v>
      </c>
      <c r="O442" s="569">
        <v>0.6</v>
      </c>
      <c r="P442" s="327"/>
    </row>
    <row r="443" spans="1:16" ht="21.75" customHeight="1" thickBot="1" x14ac:dyDescent="0.3">
      <c r="A443" s="575"/>
      <c r="B443" s="581"/>
      <c r="C443" s="582" t="s">
        <v>811</v>
      </c>
      <c r="D443" s="583" t="s">
        <v>812</v>
      </c>
      <c r="E443" s="567">
        <v>12</v>
      </c>
      <c r="F443" s="567">
        <v>4</v>
      </c>
      <c r="G443" s="567">
        <v>8</v>
      </c>
      <c r="H443" s="567">
        <v>0</v>
      </c>
      <c r="I443" s="567">
        <v>24</v>
      </c>
      <c r="J443" s="567">
        <v>26</v>
      </c>
      <c r="K443" s="567">
        <v>50</v>
      </c>
      <c r="L443" s="567">
        <v>2</v>
      </c>
      <c r="M443" s="568"/>
      <c r="N443" s="569">
        <v>0.4</v>
      </c>
      <c r="O443" s="569">
        <v>0.6</v>
      </c>
      <c r="P443" s="316"/>
    </row>
    <row r="444" spans="1:16" ht="10.5" customHeight="1" thickBot="1" x14ac:dyDescent="0.3">
      <c r="A444" s="561" t="s">
        <v>406</v>
      </c>
      <c r="B444" s="562"/>
      <c r="C444" s="562"/>
      <c r="D444" s="562"/>
      <c r="E444" s="562"/>
      <c r="F444" s="562"/>
      <c r="G444" s="562"/>
      <c r="H444" s="562"/>
      <c r="I444" s="562"/>
      <c r="J444" s="562"/>
      <c r="K444" s="562"/>
      <c r="L444" s="562"/>
      <c r="M444" s="562"/>
      <c r="N444" s="562"/>
      <c r="O444" s="562"/>
      <c r="P444" s="562"/>
    </row>
    <row r="445" spans="1:16" ht="23.25" thickBot="1" x14ac:dyDescent="0.3">
      <c r="A445" s="584" t="s">
        <v>813</v>
      </c>
      <c r="B445" s="585" t="s">
        <v>814</v>
      </c>
      <c r="C445" s="586" t="s">
        <v>815</v>
      </c>
      <c r="D445" s="587" t="s">
        <v>816</v>
      </c>
      <c r="E445" s="588">
        <v>6</v>
      </c>
      <c r="F445" s="588">
        <v>0</v>
      </c>
      <c r="G445" s="588">
        <v>6</v>
      </c>
      <c r="H445" s="588">
        <v>0</v>
      </c>
      <c r="I445" s="588">
        <v>12</v>
      </c>
      <c r="J445" s="588">
        <v>13</v>
      </c>
      <c r="K445" s="588">
        <v>25</v>
      </c>
      <c r="L445" s="588">
        <v>1</v>
      </c>
      <c r="M445" s="589">
        <v>3</v>
      </c>
      <c r="N445" s="590">
        <v>0.4</v>
      </c>
      <c r="O445" s="590">
        <v>0.6</v>
      </c>
      <c r="P445" s="591" t="s">
        <v>817</v>
      </c>
    </row>
    <row r="446" spans="1:16" ht="21" customHeight="1" thickBot="1" x14ac:dyDescent="0.3">
      <c r="A446" s="584"/>
      <c r="B446" s="585"/>
      <c r="C446" s="586" t="s">
        <v>818</v>
      </c>
      <c r="D446" s="592" t="s">
        <v>819</v>
      </c>
      <c r="E446" s="593">
        <v>6</v>
      </c>
      <c r="F446" s="593">
        <v>0</v>
      </c>
      <c r="G446" s="593">
        <v>6</v>
      </c>
      <c r="H446" s="593">
        <v>0</v>
      </c>
      <c r="I446" s="593">
        <v>12</v>
      </c>
      <c r="J446" s="593">
        <v>13</v>
      </c>
      <c r="K446" s="593">
        <v>25</v>
      </c>
      <c r="L446" s="593">
        <v>1</v>
      </c>
      <c r="M446" s="594"/>
      <c r="N446" s="590">
        <v>0.4</v>
      </c>
      <c r="O446" s="590">
        <v>0.6</v>
      </c>
      <c r="P446" s="595"/>
    </row>
    <row r="447" spans="1:16" ht="23.25" thickBot="1" x14ac:dyDescent="0.3">
      <c r="A447" s="584"/>
      <c r="B447" s="585"/>
      <c r="C447" s="586" t="s">
        <v>820</v>
      </c>
      <c r="D447" s="596" t="s">
        <v>821</v>
      </c>
      <c r="E447" s="597">
        <v>6</v>
      </c>
      <c r="F447" s="597">
        <v>0</v>
      </c>
      <c r="G447" s="597">
        <v>6</v>
      </c>
      <c r="H447" s="597">
        <v>0</v>
      </c>
      <c r="I447" s="597">
        <v>12</v>
      </c>
      <c r="J447" s="597">
        <v>13</v>
      </c>
      <c r="K447" s="597">
        <v>25</v>
      </c>
      <c r="L447" s="597">
        <v>1</v>
      </c>
      <c r="M447" s="598"/>
      <c r="N447" s="590">
        <v>0.4</v>
      </c>
      <c r="O447" s="590">
        <v>0.6</v>
      </c>
      <c r="P447" s="599"/>
    </row>
    <row r="448" spans="1:16" ht="10.5" customHeight="1" thickBot="1" x14ac:dyDescent="0.3">
      <c r="A448" s="600" t="s">
        <v>62</v>
      </c>
      <c r="B448" s="601"/>
      <c r="C448" s="601"/>
      <c r="D448" s="601"/>
      <c r="E448" s="601"/>
      <c r="F448" s="601"/>
      <c r="G448" s="601"/>
      <c r="H448" s="601"/>
      <c r="I448" s="601"/>
      <c r="J448" s="601"/>
      <c r="K448" s="601"/>
      <c r="L448" s="601"/>
      <c r="M448" s="601"/>
      <c r="N448" s="601"/>
      <c r="O448" s="601"/>
      <c r="P448" s="601"/>
    </row>
    <row r="449" spans="1:16" ht="23.25" thickBot="1" x14ac:dyDescent="0.3">
      <c r="A449" s="602" t="s">
        <v>822</v>
      </c>
      <c r="B449" s="603" t="s">
        <v>823</v>
      </c>
      <c r="C449" s="586" t="s">
        <v>824</v>
      </c>
      <c r="D449" s="604" t="s">
        <v>823</v>
      </c>
      <c r="E449" s="588">
        <v>0</v>
      </c>
      <c r="F449" s="588">
        <v>24</v>
      </c>
      <c r="G449" s="588">
        <v>0</v>
      </c>
      <c r="H449" s="588">
        <v>0</v>
      </c>
      <c r="I449" s="588">
        <v>24</v>
      </c>
      <c r="J449" s="588">
        <v>26</v>
      </c>
      <c r="K449" s="588">
        <v>50</v>
      </c>
      <c r="L449" s="588">
        <v>2</v>
      </c>
      <c r="M449" s="605">
        <v>2</v>
      </c>
      <c r="N449" s="590">
        <v>0.4</v>
      </c>
      <c r="O449" s="590">
        <v>0.6</v>
      </c>
      <c r="P449" s="606" t="s">
        <v>355</v>
      </c>
    </row>
    <row r="450" spans="1:16" ht="23.25" thickBot="1" x14ac:dyDescent="0.3">
      <c r="A450" s="607" t="s">
        <v>825</v>
      </c>
      <c r="B450" s="608" t="s">
        <v>826</v>
      </c>
      <c r="C450" s="586" t="s">
        <v>827</v>
      </c>
      <c r="D450" s="587" t="s">
        <v>828</v>
      </c>
      <c r="E450" s="588">
        <v>6</v>
      </c>
      <c r="F450" s="588">
        <v>0</v>
      </c>
      <c r="G450" s="588">
        <v>6</v>
      </c>
      <c r="H450" s="588">
        <v>0</v>
      </c>
      <c r="I450" s="588">
        <v>12</v>
      </c>
      <c r="J450" s="588">
        <v>13</v>
      </c>
      <c r="K450" s="588">
        <v>25</v>
      </c>
      <c r="L450" s="588">
        <v>1</v>
      </c>
      <c r="M450" s="589">
        <v>2</v>
      </c>
      <c r="N450" s="590">
        <v>0.4</v>
      </c>
      <c r="O450" s="590">
        <v>0.6</v>
      </c>
      <c r="P450" s="591" t="s">
        <v>368</v>
      </c>
    </row>
    <row r="451" spans="1:16" ht="12" customHeight="1" thickBot="1" x14ac:dyDescent="0.3">
      <c r="A451" s="609"/>
      <c r="B451" s="610"/>
      <c r="C451" s="586" t="s">
        <v>829</v>
      </c>
      <c r="D451" s="596" t="s">
        <v>830</v>
      </c>
      <c r="E451" s="597">
        <v>6</v>
      </c>
      <c r="F451" s="597">
        <v>0</v>
      </c>
      <c r="G451" s="597">
        <v>6</v>
      </c>
      <c r="H451" s="597">
        <v>0</v>
      </c>
      <c r="I451" s="597">
        <v>12</v>
      </c>
      <c r="J451" s="597">
        <v>13</v>
      </c>
      <c r="K451" s="597">
        <v>25</v>
      </c>
      <c r="L451" s="597">
        <v>1</v>
      </c>
      <c r="M451" s="598"/>
      <c r="N451" s="590">
        <v>0.4</v>
      </c>
      <c r="O451" s="590">
        <v>0.6</v>
      </c>
      <c r="P451" s="599"/>
    </row>
    <row r="452" spans="1:16" ht="12" customHeight="1" thickBot="1" x14ac:dyDescent="0.3">
      <c r="A452" s="611" t="s">
        <v>67</v>
      </c>
      <c r="B452" s="612"/>
      <c r="C452" s="612"/>
      <c r="D452" s="612"/>
      <c r="E452" s="612"/>
      <c r="F452" s="612"/>
      <c r="G452" s="612"/>
      <c r="H452" s="612"/>
      <c r="I452" s="612"/>
      <c r="J452" s="612"/>
      <c r="K452" s="612"/>
      <c r="L452" s="612"/>
      <c r="M452" s="612"/>
      <c r="N452" s="612"/>
      <c r="O452" s="612"/>
      <c r="P452" s="612"/>
    </row>
    <row r="453" spans="1:16" ht="21.75" customHeight="1" x14ac:dyDescent="0.25">
      <c r="A453" s="613" t="s">
        <v>673</v>
      </c>
      <c r="B453" s="614" t="s">
        <v>674</v>
      </c>
      <c r="C453" s="615" t="s">
        <v>673</v>
      </c>
      <c r="D453" s="616" t="s">
        <v>674</v>
      </c>
      <c r="E453" s="614">
        <v>0</v>
      </c>
      <c r="F453" s="614">
        <v>24</v>
      </c>
      <c r="G453" s="614">
        <v>0</v>
      </c>
      <c r="H453" s="614">
        <v>0</v>
      </c>
      <c r="I453" s="614">
        <v>24</v>
      </c>
      <c r="J453" s="614">
        <v>26</v>
      </c>
      <c r="K453" s="614">
        <v>50</v>
      </c>
      <c r="L453" s="614">
        <v>2</v>
      </c>
      <c r="M453" s="614">
        <v>2</v>
      </c>
      <c r="N453" s="590">
        <v>0.4</v>
      </c>
      <c r="O453" s="590">
        <v>0.6</v>
      </c>
      <c r="P453" s="617" t="s">
        <v>831</v>
      </c>
    </row>
    <row r="454" spans="1:16" ht="12.75" customHeight="1" thickBot="1" x14ac:dyDescent="0.3">
      <c r="A454" s="618" t="s">
        <v>667</v>
      </c>
      <c r="B454" s="619" t="s">
        <v>832</v>
      </c>
      <c r="C454" s="620" t="s">
        <v>669</v>
      </c>
      <c r="D454" s="592" t="s">
        <v>670</v>
      </c>
      <c r="E454" s="621">
        <v>0</v>
      </c>
      <c r="F454" s="621">
        <v>12</v>
      </c>
      <c r="G454" s="621">
        <v>0</v>
      </c>
      <c r="H454" s="621">
        <v>0</v>
      </c>
      <c r="I454" s="621">
        <v>12</v>
      </c>
      <c r="J454" s="621">
        <v>13</v>
      </c>
      <c r="K454" s="621">
        <v>25</v>
      </c>
      <c r="L454" s="621">
        <v>1</v>
      </c>
      <c r="M454" s="621">
        <v>2</v>
      </c>
      <c r="N454" s="590">
        <v>0.4</v>
      </c>
      <c r="O454" s="590">
        <v>0.6</v>
      </c>
      <c r="P454" s="622" t="s">
        <v>833</v>
      </c>
    </row>
    <row r="455" spans="1:16" ht="20.25" customHeight="1" thickBot="1" x14ac:dyDescent="0.3">
      <c r="A455" s="623"/>
      <c r="B455" s="598"/>
      <c r="C455" s="624" t="s">
        <v>671</v>
      </c>
      <c r="D455" s="596" t="s">
        <v>672</v>
      </c>
      <c r="E455" s="625">
        <v>0</v>
      </c>
      <c r="F455" s="625">
        <v>12</v>
      </c>
      <c r="G455" s="625">
        <v>0</v>
      </c>
      <c r="H455" s="625">
        <v>0</v>
      </c>
      <c r="I455" s="625">
        <v>12</v>
      </c>
      <c r="J455" s="625">
        <v>13</v>
      </c>
      <c r="K455" s="626">
        <v>25</v>
      </c>
      <c r="L455" s="626">
        <v>1</v>
      </c>
      <c r="M455" s="625"/>
      <c r="N455" s="590">
        <v>0.4</v>
      </c>
      <c r="O455" s="590">
        <v>0.6</v>
      </c>
      <c r="P455" s="627"/>
    </row>
    <row r="456" spans="1:16" ht="11.25" customHeight="1" thickBot="1" x14ac:dyDescent="0.3">
      <c r="A456" s="628" t="s">
        <v>677</v>
      </c>
      <c r="B456" s="628"/>
      <c r="C456" s="628"/>
      <c r="D456" s="629"/>
      <c r="E456" s="630">
        <f>E433+E434+E435+E436+E437+E438+E439+E440+E441+E442+E443++E445+E446+E447+E449++E450+E451+E453+E454+E455</f>
        <v>172</v>
      </c>
      <c r="F456" s="630">
        <f t="shared" ref="F456:M456" si="12">F433+F434+F435+F436+F437+F438+F439+F440+F441+F442+F443++F445+F446+F447+F449++F450+F451+F453+F454+F455</f>
        <v>84</v>
      </c>
      <c r="G456" s="630">
        <f t="shared" si="12"/>
        <v>80</v>
      </c>
      <c r="H456" s="630">
        <f t="shared" si="12"/>
        <v>24</v>
      </c>
      <c r="I456" s="630">
        <f t="shared" si="12"/>
        <v>360</v>
      </c>
      <c r="J456" s="630">
        <f t="shared" si="12"/>
        <v>390</v>
      </c>
      <c r="K456" s="630">
        <f t="shared" si="12"/>
        <v>750</v>
      </c>
      <c r="L456" s="630">
        <f t="shared" si="12"/>
        <v>30</v>
      </c>
      <c r="M456" s="630">
        <f t="shared" si="12"/>
        <v>30</v>
      </c>
      <c r="N456" s="630"/>
      <c r="O456" s="630"/>
      <c r="P456" s="357"/>
    </row>
    <row r="457" spans="1:16" x14ac:dyDescent="0.25">
      <c r="A457" s="631"/>
      <c r="B457" s="631"/>
      <c r="C457" s="631"/>
      <c r="D457" s="631"/>
      <c r="E457" s="631"/>
      <c r="F457" s="631"/>
      <c r="G457" s="631"/>
      <c r="H457" s="631"/>
      <c r="I457" s="631"/>
      <c r="J457" s="631"/>
      <c r="K457" s="631"/>
      <c r="L457" s="631"/>
      <c r="M457" s="631"/>
      <c r="N457" s="631"/>
      <c r="O457" s="631"/>
      <c r="P457" s="632"/>
    </row>
    <row r="458" spans="1:16" x14ac:dyDescent="0.25">
      <c r="A458" s="631"/>
      <c r="B458" s="631"/>
      <c r="C458" s="631"/>
      <c r="D458" s="633"/>
      <c r="E458" s="631"/>
      <c r="F458" s="631"/>
      <c r="G458" s="631"/>
      <c r="H458" s="631"/>
      <c r="I458" s="631"/>
      <c r="J458" s="631"/>
      <c r="K458" s="631"/>
      <c r="L458" s="631"/>
      <c r="M458" s="631"/>
      <c r="N458" s="631"/>
      <c r="O458" s="631"/>
      <c r="P458" s="632"/>
    </row>
    <row r="459" spans="1:16" x14ac:dyDescent="0.25">
      <c r="A459" s="634"/>
      <c r="B459" s="511"/>
      <c r="C459" s="534"/>
      <c r="D459" s="549" t="s">
        <v>834</v>
      </c>
      <c r="E459" s="634"/>
      <c r="F459" s="634"/>
      <c r="G459" s="634"/>
      <c r="H459" s="536"/>
      <c r="I459" s="511"/>
      <c r="J459" s="634"/>
      <c r="K459" s="536"/>
      <c r="L459" s="536"/>
      <c r="M459" s="536"/>
      <c r="N459" s="536"/>
      <c r="O459" s="536"/>
      <c r="P459" s="291"/>
    </row>
    <row r="460" spans="1:16" ht="15.75" thickBot="1" x14ac:dyDescent="0.3">
      <c r="A460" s="634"/>
      <c r="B460" s="511"/>
      <c r="C460" s="534"/>
      <c r="D460" s="549"/>
      <c r="E460" s="634"/>
      <c r="F460" s="634"/>
      <c r="G460" s="634"/>
      <c r="H460" s="536"/>
      <c r="I460" s="511"/>
      <c r="J460" s="634"/>
      <c r="K460" s="536"/>
      <c r="L460" s="536"/>
      <c r="M460" s="536"/>
      <c r="N460" s="536"/>
      <c r="O460" s="536"/>
      <c r="P460" s="291"/>
    </row>
    <row r="461" spans="1:16" x14ac:dyDescent="0.25">
      <c r="A461" s="635"/>
      <c r="B461" s="476" t="s">
        <v>248</v>
      </c>
      <c r="C461" s="476"/>
      <c r="D461" s="476"/>
      <c r="E461" s="476" t="s">
        <v>249</v>
      </c>
      <c r="F461" s="476"/>
      <c r="G461" s="476"/>
      <c r="H461" s="476"/>
      <c r="I461" s="476"/>
      <c r="J461" s="476"/>
      <c r="K461" s="476"/>
      <c r="L461" s="420" t="s">
        <v>250</v>
      </c>
      <c r="M461" s="360" t="s">
        <v>251</v>
      </c>
      <c r="N461" s="42" t="s">
        <v>11</v>
      </c>
      <c r="O461" s="42"/>
      <c r="P461" s="360" t="s">
        <v>12</v>
      </c>
    </row>
    <row r="462" spans="1:16" ht="15.75" thickBot="1" x14ac:dyDescent="0.3">
      <c r="A462" s="636" t="s">
        <v>252</v>
      </c>
      <c r="B462" s="637" t="s">
        <v>253</v>
      </c>
      <c r="C462" s="638" t="s">
        <v>254</v>
      </c>
      <c r="D462" s="639" t="s">
        <v>16</v>
      </c>
      <c r="E462" s="639" t="s">
        <v>255</v>
      </c>
      <c r="F462" s="639" t="s">
        <v>18</v>
      </c>
      <c r="G462" s="639" t="s">
        <v>19</v>
      </c>
      <c r="H462" s="639" t="s">
        <v>20</v>
      </c>
      <c r="I462" s="362" t="s">
        <v>21</v>
      </c>
      <c r="J462" s="639" t="s">
        <v>22</v>
      </c>
      <c r="K462" s="639" t="s">
        <v>23</v>
      </c>
      <c r="L462" s="466"/>
      <c r="M462" s="363"/>
      <c r="N462" s="640" t="s">
        <v>24</v>
      </c>
      <c r="O462" s="640" t="s">
        <v>25</v>
      </c>
      <c r="P462" s="363"/>
    </row>
    <row r="463" spans="1:16" ht="15.75" thickBot="1" x14ac:dyDescent="0.3">
      <c r="A463" s="641" t="s">
        <v>26</v>
      </c>
      <c r="B463" s="642"/>
      <c r="C463" s="642"/>
      <c r="D463" s="642"/>
      <c r="E463" s="642"/>
      <c r="F463" s="642"/>
      <c r="G463" s="642"/>
      <c r="H463" s="642"/>
      <c r="I463" s="642"/>
      <c r="J463" s="642"/>
      <c r="K463" s="642"/>
      <c r="L463" s="642"/>
      <c r="M463" s="642"/>
      <c r="N463" s="642"/>
      <c r="O463" s="642"/>
      <c r="P463" s="642"/>
    </row>
    <row r="464" spans="1:16" ht="37.5" thickBot="1" x14ac:dyDescent="0.3">
      <c r="A464" s="643" t="s">
        <v>835</v>
      </c>
      <c r="B464" s="644" t="s">
        <v>836</v>
      </c>
      <c r="C464" s="645" t="s">
        <v>837</v>
      </c>
      <c r="D464" s="646" t="s">
        <v>838</v>
      </c>
      <c r="E464" s="647">
        <v>6</v>
      </c>
      <c r="F464" s="647">
        <v>12</v>
      </c>
      <c r="G464" s="647">
        <v>6</v>
      </c>
      <c r="H464" s="647">
        <v>0</v>
      </c>
      <c r="I464" s="647">
        <v>24</v>
      </c>
      <c r="J464" s="647">
        <v>26</v>
      </c>
      <c r="K464" s="647">
        <v>50</v>
      </c>
      <c r="L464" s="647">
        <v>2</v>
      </c>
      <c r="M464" s="648">
        <v>4</v>
      </c>
      <c r="N464" s="649">
        <v>0.4</v>
      </c>
      <c r="O464" s="649">
        <v>0.6</v>
      </c>
      <c r="P464" s="644" t="s">
        <v>839</v>
      </c>
    </row>
    <row r="465" spans="1:16" ht="25.5" thickBot="1" x14ac:dyDescent="0.3">
      <c r="A465" s="650"/>
      <c r="B465" s="490"/>
      <c r="C465" s="645" t="s">
        <v>840</v>
      </c>
      <c r="D465" s="646" t="s">
        <v>841</v>
      </c>
      <c r="E465" s="494">
        <v>6</v>
      </c>
      <c r="F465" s="494">
        <v>12</v>
      </c>
      <c r="G465" s="494">
        <v>6</v>
      </c>
      <c r="H465" s="494">
        <v>0</v>
      </c>
      <c r="I465" s="494">
        <v>24</v>
      </c>
      <c r="J465" s="494">
        <v>26</v>
      </c>
      <c r="K465" s="494">
        <v>50</v>
      </c>
      <c r="L465" s="494">
        <v>2</v>
      </c>
      <c r="M465" s="651"/>
      <c r="N465" s="649">
        <v>0.4</v>
      </c>
      <c r="O465" s="649">
        <v>0.6</v>
      </c>
      <c r="P465" s="490"/>
    </row>
    <row r="466" spans="1:16" ht="15.75" thickBot="1" x14ac:dyDescent="0.3">
      <c r="A466" s="641" t="s">
        <v>406</v>
      </c>
      <c r="B466" s="642"/>
      <c r="C466" s="642"/>
      <c r="D466" s="642"/>
      <c r="E466" s="642"/>
      <c r="F466" s="642"/>
      <c r="G466" s="642"/>
      <c r="H466" s="642"/>
      <c r="I466" s="642"/>
      <c r="J466" s="642"/>
      <c r="K466" s="642"/>
      <c r="L466" s="642"/>
      <c r="M466" s="642"/>
      <c r="N466" s="642"/>
      <c r="O466" s="642"/>
      <c r="P466" s="642"/>
    </row>
    <row r="467" spans="1:16" ht="15.75" thickBot="1" x14ac:dyDescent="0.3">
      <c r="A467" s="406" t="s">
        <v>842</v>
      </c>
      <c r="B467" s="400" t="s">
        <v>843</v>
      </c>
      <c r="C467" s="645" t="s">
        <v>844</v>
      </c>
      <c r="D467" s="646" t="s">
        <v>845</v>
      </c>
      <c r="E467" s="652">
        <v>10</v>
      </c>
      <c r="F467" s="652">
        <v>4</v>
      </c>
      <c r="G467" s="652">
        <v>6</v>
      </c>
      <c r="H467" s="652">
        <v>4</v>
      </c>
      <c r="I467" s="652">
        <v>24</v>
      </c>
      <c r="J467" s="652">
        <v>26</v>
      </c>
      <c r="K467" s="652">
        <v>50</v>
      </c>
      <c r="L467" s="652">
        <v>2</v>
      </c>
      <c r="M467" s="653">
        <v>4</v>
      </c>
      <c r="N467" s="649">
        <v>0.4</v>
      </c>
      <c r="O467" s="649">
        <v>0.6</v>
      </c>
      <c r="P467" s="400" t="s">
        <v>846</v>
      </c>
    </row>
    <row r="468" spans="1:16" ht="15.75" thickBot="1" x14ac:dyDescent="0.3">
      <c r="A468" s="409"/>
      <c r="B468" s="402"/>
      <c r="C468" s="645" t="s">
        <v>847</v>
      </c>
      <c r="D468" s="646" t="s">
        <v>848</v>
      </c>
      <c r="E468" s="542">
        <v>10</v>
      </c>
      <c r="F468" s="542">
        <v>4</v>
      </c>
      <c r="G468" s="542">
        <v>6</v>
      </c>
      <c r="H468" s="542">
        <v>4</v>
      </c>
      <c r="I468" s="542">
        <v>24</v>
      </c>
      <c r="J468" s="542">
        <v>26</v>
      </c>
      <c r="K468" s="542">
        <v>50</v>
      </c>
      <c r="L468" s="542">
        <v>2</v>
      </c>
      <c r="M468" s="654"/>
      <c r="N468" s="649">
        <v>0.4</v>
      </c>
      <c r="O468" s="649">
        <v>0.6</v>
      </c>
      <c r="P468" s="402"/>
    </row>
    <row r="469" spans="1:16" ht="24.75" x14ac:dyDescent="0.25">
      <c r="A469" s="655" t="s">
        <v>849</v>
      </c>
      <c r="B469" s="653" t="s">
        <v>850</v>
      </c>
      <c r="C469" s="656" t="s">
        <v>851</v>
      </c>
      <c r="D469" s="646" t="s">
        <v>852</v>
      </c>
      <c r="E469" s="657">
        <v>10</v>
      </c>
      <c r="F469" s="657">
        <v>4</v>
      </c>
      <c r="G469" s="657">
        <v>6</v>
      </c>
      <c r="H469" s="657">
        <v>4</v>
      </c>
      <c r="I469" s="657">
        <v>24</v>
      </c>
      <c r="J469" s="657">
        <v>26</v>
      </c>
      <c r="K469" s="657">
        <v>50</v>
      </c>
      <c r="L469" s="657">
        <v>2</v>
      </c>
      <c r="M469" s="653">
        <v>4</v>
      </c>
      <c r="N469" s="649">
        <v>0.4</v>
      </c>
      <c r="O469" s="649">
        <v>0.6</v>
      </c>
      <c r="P469" s="368" t="s">
        <v>853</v>
      </c>
    </row>
    <row r="470" spans="1:16" ht="25.5" thickBot="1" x14ac:dyDescent="0.3">
      <c r="A470" s="658"/>
      <c r="B470" s="651"/>
      <c r="C470" s="656" t="s">
        <v>854</v>
      </c>
      <c r="D470" s="646" t="s">
        <v>855</v>
      </c>
      <c r="E470" s="494">
        <v>10</v>
      </c>
      <c r="F470" s="494">
        <v>4</v>
      </c>
      <c r="G470" s="494">
        <v>6</v>
      </c>
      <c r="H470" s="494">
        <v>4</v>
      </c>
      <c r="I470" s="494">
        <v>24</v>
      </c>
      <c r="J470" s="494">
        <v>26</v>
      </c>
      <c r="K470" s="494">
        <v>50</v>
      </c>
      <c r="L470" s="494">
        <v>2</v>
      </c>
      <c r="M470" s="654"/>
      <c r="N470" s="649">
        <v>0.4</v>
      </c>
      <c r="O470" s="649">
        <v>0.6</v>
      </c>
      <c r="P470" s="380"/>
    </row>
    <row r="471" spans="1:16" ht="36.75" x14ac:dyDescent="0.25">
      <c r="A471" s="658" t="s">
        <v>856</v>
      </c>
      <c r="B471" s="659" t="s">
        <v>857</v>
      </c>
      <c r="C471" s="656" t="s">
        <v>858</v>
      </c>
      <c r="D471" s="646" t="s">
        <v>859</v>
      </c>
      <c r="E471" s="647">
        <v>6</v>
      </c>
      <c r="F471" s="647">
        <v>18</v>
      </c>
      <c r="G471" s="647">
        <v>0</v>
      </c>
      <c r="H471" s="647">
        <v>0</v>
      </c>
      <c r="I471" s="647">
        <v>24</v>
      </c>
      <c r="J471" s="647">
        <v>26</v>
      </c>
      <c r="K471" s="647">
        <v>50</v>
      </c>
      <c r="L471" s="647">
        <v>2</v>
      </c>
      <c r="M471" s="653">
        <v>4</v>
      </c>
      <c r="N471" s="649">
        <v>0.4</v>
      </c>
      <c r="O471" s="649">
        <v>0.6</v>
      </c>
      <c r="P471" s="400" t="s">
        <v>839</v>
      </c>
    </row>
    <row r="472" spans="1:16" ht="25.5" thickBot="1" x14ac:dyDescent="0.3">
      <c r="A472" s="409"/>
      <c r="B472" s="660"/>
      <c r="C472" s="656" t="s">
        <v>860</v>
      </c>
      <c r="D472" s="646" t="s">
        <v>861</v>
      </c>
      <c r="E472" s="542">
        <v>6</v>
      </c>
      <c r="F472" s="542">
        <v>18</v>
      </c>
      <c r="G472" s="542">
        <v>0</v>
      </c>
      <c r="H472" s="542">
        <v>0</v>
      </c>
      <c r="I472" s="542">
        <v>24</v>
      </c>
      <c r="J472" s="542">
        <v>26</v>
      </c>
      <c r="K472" s="542">
        <v>50</v>
      </c>
      <c r="L472" s="542">
        <v>2</v>
      </c>
      <c r="M472" s="654"/>
      <c r="N472" s="649">
        <v>0.4</v>
      </c>
      <c r="O472" s="649">
        <v>0.6</v>
      </c>
      <c r="P472" s="402"/>
    </row>
    <row r="473" spans="1:16" ht="15.75" thickBot="1" x14ac:dyDescent="0.3">
      <c r="A473" s="661" t="s">
        <v>862</v>
      </c>
      <c r="B473" s="662" t="s">
        <v>510</v>
      </c>
      <c r="C473" s="663" t="s">
        <v>862</v>
      </c>
      <c r="D473" s="664" t="s">
        <v>510</v>
      </c>
      <c r="E473" s="665">
        <v>0</v>
      </c>
      <c r="F473" s="665">
        <v>0</v>
      </c>
      <c r="G473" s="665">
        <v>0</v>
      </c>
      <c r="H473" s="665">
        <v>0</v>
      </c>
      <c r="I473" s="665">
        <v>120</v>
      </c>
      <c r="J473" s="665">
        <v>130</v>
      </c>
      <c r="K473" s="666">
        <v>250</v>
      </c>
      <c r="L473" s="666">
        <v>10</v>
      </c>
      <c r="M473" s="665">
        <v>10</v>
      </c>
      <c r="N473" s="667"/>
      <c r="O473" s="668"/>
      <c r="P473" s="665" t="s">
        <v>863</v>
      </c>
    </row>
    <row r="474" spans="1:16" ht="15.75" thickBot="1" x14ac:dyDescent="0.3">
      <c r="A474" s="641" t="s">
        <v>67</v>
      </c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42"/>
      <c r="P474" s="642"/>
    </row>
    <row r="475" spans="1:16" ht="37.5" thickBot="1" x14ac:dyDescent="0.3">
      <c r="A475" s="669" t="s">
        <v>864</v>
      </c>
      <c r="B475" s="670" t="s">
        <v>865</v>
      </c>
      <c r="C475" s="671" t="s">
        <v>866</v>
      </c>
      <c r="D475" s="646" t="s">
        <v>867</v>
      </c>
      <c r="E475" s="672">
        <v>12</v>
      </c>
      <c r="F475" s="672">
        <v>12</v>
      </c>
      <c r="G475" s="672">
        <v>0</v>
      </c>
      <c r="H475" s="672">
        <v>0</v>
      </c>
      <c r="I475" s="672">
        <v>24</v>
      </c>
      <c r="J475" s="672">
        <v>26</v>
      </c>
      <c r="K475" s="672">
        <v>50</v>
      </c>
      <c r="L475" s="672">
        <v>2</v>
      </c>
      <c r="M475" s="670">
        <v>4</v>
      </c>
      <c r="N475" s="667">
        <v>0.4</v>
      </c>
      <c r="O475" s="668">
        <v>0.6</v>
      </c>
      <c r="P475" s="673" t="s">
        <v>446</v>
      </c>
    </row>
    <row r="476" spans="1:16" ht="25.5" thickBot="1" x14ac:dyDescent="0.3">
      <c r="A476" s="674"/>
      <c r="B476" s="675"/>
      <c r="C476" s="671" t="s">
        <v>868</v>
      </c>
      <c r="D476" s="646" t="s">
        <v>869</v>
      </c>
      <c r="E476" s="672">
        <v>12</v>
      </c>
      <c r="F476" s="672">
        <v>17</v>
      </c>
      <c r="G476" s="672">
        <v>0</v>
      </c>
      <c r="H476" s="672">
        <v>0</v>
      </c>
      <c r="I476" s="672">
        <v>24</v>
      </c>
      <c r="J476" s="672">
        <v>26</v>
      </c>
      <c r="K476" s="672">
        <v>50</v>
      </c>
      <c r="L476" s="672">
        <v>2</v>
      </c>
      <c r="M476" s="675"/>
      <c r="N476" s="667">
        <v>0.4</v>
      </c>
      <c r="O476" s="668">
        <v>0.6</v>
      </c>
      <c r="P476" s="676"/>
    </row>
    <row r="477" spans="1:16" ht="15.75" thickBot="1" x14ac:dyDescent="0.3">
      <c r="A477" s="677" t="s">
        <v>719</v>
      </c>
      <c r="B477" s="677"/>
      <c r="C477" s="677"/>
      <c r="D477" s="678"/>
      <c r="E477" s="679">
        <f>E464+E465+E467+E468+E469+E470+E471+E472+E473+E475+E476</f>
        <v>88</v>
      </c>
      <c r="F477" s="679">
        <f t="shared" ref="F477:M477" si="13">F464+F465+F467+F468+F469+F470+F471+F472+F473+F475+F476</f>
        <v>105</v>
      </c>
      <c r="G477" s="679">
        <f t="shared" si="13"/>
        <v>36</v>
      </c>
      <c r="H477" s="679">
        <f t="shared" si="13"/>
        <v>16</v>
      </c>
      <c r="I477" s="679">
        <f t="shared" si="13"/>
        <v>360</v>
      </c>
      <c r="J477" s="679">
        <f t="shared" si="13"/>
        <v>390</v>
      </c>
      <c r="K477" s="679">
        <f t="shared" si="13"/>
        <v>750</v>
      </c>
      <c r="L477" s="679">
        <f t="shared" si="13"/>
        <v>30</v>
      </c>
      <c r="M477" s="679">
        <f t="shared" si="13"/>
        <v>30</v>
      </c>
      <c r="N477" s="679"/>
      <c r="O477" s="679"/>
      <c r="P477" s="412"/>
    </row>
    <row r="478" spans="1:16" x14ac:dyDescent="0.25">
      <c r="A478" s="532"/>
      <c r="B478" s="533"/>
      <c r="C478" s="534"/>
      <c r="D478" s="535"/>
      <c r="E478" s="536"/>
      <c r="F478" s="536"/>
      <c r="G478" s="536"/>
      <c r="H478" s="536"/>
      <c r="I478" s="536"/>
      <c r="J478" s="536"/>
      <c r="K478" s="536"/>
      <c r="L478" s="536"/>
      <c r="M478" s="536"/>
      <c r="N478" s="536"/>
      <c r="O478" s="536"/>
      <c r="P478" s="292"/>
    </row>
    <row r="479" spans="1:16" ht="15.75" thickBot="1" x14ac:dyDescent="0.3">
      <c r="A479" s="532"/>
      <c r="B479" s="533"/>
      <c r="C479" s="534"/>
      <c r="D479" s="473" t="s">
        <v>870</v>
      </c>
      <c r="E479" s="536"/>
      <c r="F479" s="536"/>
      <c r="G479" s="536"/>
      <c r="H479" s="536"/>
      <c r="I479" s="536"/>
      <c r="J479" s="536"/>
      <c r="K479" s="536"/>
      <c r="L479" s="536"/>
      <c r="M479" s="536"/>
      <c r="N479" s="534"/>
      <c r="O479" s="534"/>
      <c r="P479" s="292"/>
    </row>
    <row r="480" spans="1:16" x14ac:dyDescent="0.25">
      <c r="A480" s="635"/>
      <c r="B480" s="476" t="s">
        <v>248</v>
      </c>
      <c r="C480" s="476"/>
      <c r="D480" s="476"/>
      <c r="E480" s="476" t="s">
        <v>249</v>
      </c>
      <c r="F480" s="476"/>
      <c r="G480" s="476"/>
      <c r="H480" s="476"/>
      <c r="I480" s="476"/>
      <c r="J480" s="476"/>
      <c r="K480" s="476"/>
      <c r="L480" s="420" t="s">
        <v>250</v>
      </c>
      <c r="M480" s="360" t="s">
        <v>251</v>
      </c>
      <c r="N480" s="42" t="s">
        <v>11</v>
      </c>
      <c r="O480" s="42"/>
      <c r="P480" s="360" t="s">
        <v>12</v>
      </c>
    </row>
    <row r="481" spans="1:16" ht="15.75" thickBot="1" x14ac:dyDescent="0.3">
      <c r="A481" s="636" t="s">
        <v>252</v>
      </c>
      <c r="B481" s="637" t="s">
        <v>253</v>
      </c>
      <c r="C481" s="638" t="s">
        <v>254</v>
      </c>
      <c r="D481" s="639" t="s">
        <v>16</v>
      </c>
      <c r="E481" s="639" t="s">
        <v>255</v>
      </c>
      <c r="F481" s="639" t="s">
        <v>18</v>
      </c>
      <c r="G481" s="639" t="s">
        <v>19</v>
      </c>
      <c r="H481" s="639" t="s">
        <v>20</v>
      </c>
      <c r="I481" s="362" t="s">
        <v>21</v>
      </c>
      <c r="J481" s="639" t="s">
        <v>22</v>
      </c>
      <c r="K481" s="639" t="s">
        <v>23</v>
      </c>
      <c r="L481" s="466"/>
      <c r="M481" s="363"/>
      <c r="N481" s="640" t="s">
        <v>24</v>
      </c>
      <c r="O481" s="640" t="s">
        <v>25</v>
      </c>
      <c r="P481" s="363"/>
    </row>
    <row r="482" spans="1:16" ht="15.75" thickBot="1" x14ac:dyDescent="0.3">
      <c r="A482" s="641" t="s">
        <v>406</v>
      </c>
      <c r="B482" s="642"/>
      <c r="C482" s="642"/>
      <c r="D482" s="642"/>
      <c r="E482" s="642"/>
      <c r="F482" s="642"/>
      <c r="G482" s="642"/>
      <c r="H482" s="642"/>
      <c r="I482" s="642"/>
      <c r="J482" s="642"/>
      <c r="K482" s="642"/>
      <c r="L482" s="642"/>
      <c r="M482" s="642"/>
      <c r="N482" s="642"/>
      <c r="O482" s="642"/>
      <c r="P482" s="642"/>
    </row>
    <row r="483" spans="1:16" ht="15.75" thickBot="1" x14ac:dyDescent="0.3">
      <c r="A483" s="680" t="s">
        <v>871</v>
      </c>
      <c r="B483" s="670" t="s">
        <v>872</v>
      </c>
      <c r="C483" s="681" t="s">
        <v>873</v>
      </c>
      <c r="D483" s="646" t="s">
        <v>874</v>
      </c>
      <c r="E483" s="681">
        <v>12</v>
      </c>
      <c r="F483" s="681">
        <v>0</v>
      </c>
      <c r="G483" s="681">
        <v>0</v>
      </c>
      <c r="H483" s="681">
        <v>0</v>
      </c>
      <c r="I483" s="681">
        <v>12</v>
      </c>
      <c r="J483" s="681">
        <v>13</v>
      </c>
      <c r="K483" s="681">
        <v>25</v>
      </c>
      <c r="L483" s="681">
        <v>1</v>
      </c>
      <c r="M483" s="670">
        <v>3</v>
      </c>
      <c r="N483" s="667">
        <v>0.4</v>
      </c>
      <c r="O483" s="668">
        <v>0.6</v>
      </c>
      <c r="P483" s="673" t="s">
        <v>839</v>
      </c>
    </row>
    <row r="484" spans="1:16" ht="36.75" x14ac:dyDescent="0.25">
      <c r="A484" s="682"/>
      <c r="B484" s="683"/>
      <c r="C484" s="681" t="s">
        <v>875</v>
      </c>
      <c r="D484" s="684" t="s">
        <v>876</v>
      </c>
      <c r="E484" s="685">
        <v>12</v>
      </c>
      <c r="F484" s="685">
        <v>12</v>
      </c>
      <c r="G484" s="685">
        <v>0</v>
      </c>
      <c r="H484" s="685">
        <v>0</v>
      </c>
      <c r="I484" s="685">
        <v>24</v>
      </c>
      <c r="J484" s="685">
        <v>26</v>
      </c>
      <c r="K484" s="685">
        <v>50</v>
      </c>
      <c r="L484" s="685">
        <v>2</v>
      </c>
      <c r="M484" s="686"/>
      <c r="N484" s="667">
        <v>0.4</v>
      </c>
      <c r="O484" s="668">
        <v>0.6</v>
      </c>
      <c r="P484" s="687"/>
    </row>
    <row r="485" spans="1:16" ht="15.75" thickBot="1" x14ac:dyDescent="0.3">
      <c r="A485" s="688" t="s">
        <v>877</v>
      </c>
      <c r="B485" s="689" t="s">
        <v>878</v>
      </c>
      <c r="C485" s="690" t="s">
        <v>879</v>
      </c>
      <c r="D485" s="646" t="s">
        <v>880</v>
      </c>
      <c r="E485" s="690">
        <v>16</v>
      </c>
      <c r="F485" s="690">
        <v>8</v>
      </c>
      <c r="G485" s="690">
        <v>0</v>
      </c>
      <c r="H485" s="690">
        <v>0</v>
      </c>
      <c r="I485" s="690">
        <v>24</v>
      </c>
      <c r="J485" s="690">
        <v>26</v>
      </c>
      <c r="K485" s="690">
        <v>50</v>
      </c>
      <c r="L485" s="690">
        <v>2</v>
      </c>
      <c r="M485" s="691">
        <v>5</v>
      </c>
      <c r="N485" s="667">
        <v>0.4</v>
      </c>
      <c r="O485" s="668">
        <v>0.6</v>
      </c>
      <c r="P485" s="692" t="s">
        <v>802</v>
      </c>
    </row>
    <row r="486" spans="1:16" ht="25.5" thickBot="1" x14ac:dyDescent="0.3">
      <c r="A486" s="688"/>
      <c r="B486" s="689"/>
      <c r="C486" s="690" t="s">
        <v>881</v>
      </c>
      <c r="D486" s="646" t="s">
        <v>882</v>
      </c>
      <c r="E486" s="681">
        <v>16</v>
      </c>
      <c r="F486" s="681">
        <v>8</v>
      </c>
      <c r="G486" s="681">
        <v>0</v>
      </c>
      <c r="H486" s="681">
        <v>0</v>
      </c>
      <c r="I486" s="681">
        <v>24</v>
      </c>
      <c r="J486" s="681">
        <v>26</v>
      </c>
      <c r="K486" s="681">
        <v>50</v>
      </c>
      <c r="L486" s="681">
        <v>2</v>
      </c>
      <c r="M486" s="683"/>
      <c r="N486" s="667">
        <v>0.4</v>
      </c>
      <c r="O486" s="668">
        <v>0.6</v>
      </c>
      <c r="P486" s="693"/>
    </row>
    <row r="487" spans="1:16" ht="37.5" thickBot="1" x14ac:dyDescent="0.3">
      <c r="A487" s="688"/>
      <c r="B487" s="694"/>
      <c r="C487" s="690" t="s">
        <v>883</v>
      </c>
      <c r="D487" s="684" t="s">
        <v>884</v>
      </c>
      <c r="E487" s="685">
        <v>12</v>
      </c>
      <c r="F487" s="685">
        <v>0</v>
      </c>
      <c r="G487" s="685">
        <v>0</v>
      </c>
      <c r="H487" s="685">
        <v>0</v>
      </c>
      <c r="I487" s="685">
        <v>12</v>
      </c>
      <c r="J487" s="685">
        <v>13</v>
      </c>
      <c r="K487" s="685">
        <v>25</v>
      </c>
      <c r="L487" s="685">
        <v>1</v>
      </c>
      <c r="M487" s="686"/>
      <c r="N487" s="667">
        <v>0.4</v>
      </c>
      <c r="O487" s="668">
        <v>0.6</v>
      </c>
      <c r="P487" s="687"/>
    </row>
    <row r="488" spans="1:16" ht="25.5" thickBot="1" x14ac:dyDescent="0.3">
      <c r="A488" s="682" t="s">
        <v>885</v>
      </c>
      <c r="B488" s="670" t="s">
        <v>886</v>
      </c>
      <c r="C488" s="690" t="s">
        <v>887</v>
      </c>
      <c r="D488" s="646" t="s">
        <v>886</v>
      </c>
      <c r="E488" s="690">
        <v>12</v>
      </c>
      <c r="F488" s="690">
        <v>12</v>
      </c>
      <c r="G488" s="690">
        <v>0</v>
      </c>
      <c r="H488" s="690">
        <v>0</v>
      </c>
      <c r="I488" s="690">
        <v>24</v>
      </c>
      <c r="J488" s="690">
        <v>26</v>
      </c>
      <c r="K488" s="690">
        <v>50</v>
      </c>
      <c r="L488" s="690">
        <v>2</v>
      </c>
      <c r="M488" s="691">
        <v>6</v>
      </c>
      <c r="N488" s="667">
        <v>0.4</v>
      </c>
      <c r="O488" s="668">
        <v>0.6</v>
      </c>
      <c r="P488" s="692" t="s">
        <v>888</v>
      </c>
    </row>
    <row r="489" spans="1:16" ht="25.5" thickBot="1" x14ac:dyDescent="0.3">
      <c r="A489" s="682"/>
      <c r="B489" s="683"/>
      <c r="C489" s="690" t="s">
        <v>889</v>
      </c>
      <c r="D489" s="646" t="s">
        <v>890</v>
      </c>
      <c r="E489" s="681">
        <v>12</v>
      </c>
      <c r="F489" s="681">
        <v>12</v>
      </c>
      <c r="G489" s="681">
        <v>0</v>
      </c>
      <c r="H489" s="681">
        <v>0</v>
      </c>
      <c r="I489" s="681">
        <v>24</v>
      </c>
      <c r="J489" s="681">
        <v>26</v>
      </c>
      <c r="K489" s="681">
        <v>50</v>
      </c>
      <c r="L489" s="681">
        <v>2</v>
      </c>
      <c r="M489" s="683"/>
      <c r="N489" s="667">
        <v>0.4</v>
      </c>
      <c r="O489" s="668">
        <v>0.6</v>
      </c>
      <c r="P489" s="693"/>
    </row>
    <row r="490" spans="1:16" ht="15.75" thickBot="1" x14ac:dyDescent="0.3">
      <c r="A490" s="695"/>
      <c r="B490" s="675"/>
      <c r="C490" s="690" t="s">
        <v>891</v>
      </c>
      <c r="D490" s="646" t="s">
        <v>892</v>
      </c>
      <c r="E490" s="681">
        <v>12</v>
      </c>
      <c r="F490" s="681">
        <v>12</v>
      </c>
      <c r="G490" s="681">
        <v>0</v>
      </c>
      <c r="H490" s="681">
        <v>0</v>
      </c>
      <c r="I490" s="681">
        <v>24</v>
      </c>
      <c r="J490" s="681">
        <v>26</v>
      </c>
      <c r="K490" s="681">
        <v>50</v>
      </c>
      <c r="L490" s="681">
        <v>2</v>
      </c>
      <c r="M490" s="675"/>
      <c r="N490" s="667">
        <v>0.4</v>
      </c>
      <c r="O490" s="668">
        <v>0.6</v>
      </c>
      <c r="P490" s="676"/>
    </row>
    <row r="491" spans="1:16" ht="15.75" thickBot="1" x14ac:dyDescent="0.3">
      <c r="A491" s="696" t="s">
        <v>893</v>
      </c>
      <c r="B491" s="697" t="s">
        <v>894</v>
      </c>
      <c r="C491" s="698" t="s">
        <v>895</v>
      </c>
      <c r="D491" s="699" t="s">
        <v>896</v>
      </c>
      <c r="E491" s="681">
        <v>24</v>
      </c>
      <c r="F491" s="681">
        <v>0</v>
      </c>
      <c r="G491" s="681">
        <v>0</v>
      </c>
      <c r="H491" s="681">
        <v>0</v>
      </c>
      <c r="I491" s="681">
        <v>24</v>
      </c>
      <c r="J491" s="681">
        <v>26</v>
      </c>
      <c r="K491" s="681">
        <v>50</v>
      </c>
      <c r="L491" s="681">
        <v>2</v>
      </c>
      <c r="M491" s="670">
        <v>4</v>
      </c>
      <c r="N491" s="667">
        <v>0.4</v>
      </c>
      <c r="O491" s="668">
        <v>0.6</v>
      </c>
      <c r="P491" s="673" t="s">
        <v>897</v>
      </c>
    </row>
    <row r="492" spans="1:16" ht="37.5" thickBot="1" x14ac:dyDescent="0.3">
      <c r="A492" s="700"/>
      <c r="B492" s="701"/>
      <c r="C492" s="698" t="s">
        <v>898</v>
      </c>
      <c r="D492" s="684" t="s">
        <v>899</v>
      </c>
      <c r="E492" s="685">
        <v>24</v>
      </c>
      <c r="F492" s="685">
        <v>0</v>
      </c>
      <c r="G492" s="685">
        <v>0</v>
      </c>
      <c r="H492" s="685">
        <v>0</v>
      </c>
      <c r="I492" s="685">
        <v>24</v>
      </c>
      <c r="J492" s="685">
        <v>26</v>
      </c>
      <c r="K492" s="685">
        <v>50</v>
      </c>
      <c r="L492" s="685">
        <v>2</v>
      </c>
      <c r="M492" s="675"/>
      <c r="N492" s="667">
        <v>0.4</v>
      </c>
      <c r="O492" s="668">
        <v>0.6</v>
      </c>
      <c r="P492" s="687"/>
    </row>
    <row r="493" spans="1:16" ht="25.5" thickBot="1" x14ac:dyDescent="0.3">
      <c r="A493" s="702" t="s">
        <v>900</v>
      </c>
      <c r="B493" s="703" t="s">
        <v>901</v>
      </c>
      <c r="C493" s="532" t="s">
        <v>902</v>
      </c>
      <c r="D493" s="646" t="s">
        <v>903</v>
      </c>
      <c r="E493" s="690">
        <v>0</v>
      </c>
      <c r="F493" s="690">
        <v>24</v>
      </c>
      <c r="G493" s="690">
        <v>0</v>
      </c>
      <c r="H493" s="690">
        <v>0</v>
      </c>
      <c r="I493" s="690">
        <v>24</v>
      </c>
      <c r="J493" s="690">
        <v>26</v>
      </c>
      <c r="K493" s="690">
        <v>50</v>
      </c>
      <c r="L493" s="690">
        <v>2</v>
      </c>
      <c r="M493" s="670">
        <v>4</v>
      </c>
      <c r="N493" s="667">
        <v>0.4</v>
      </c>
      <c r="O493" s="668">
        <v>0.6</v>
      </c>
      <c r="P493" s="692" t="s">
        <v>839</v>
      </c>
    </row>
    <row r="494" spans="1:16" ht="15.75" thickBot="1" x14ac:dyDescent="0.3">
      <c r="A494" s="704"/>
      <c r="B494" s="705"/>
      <c r="C494" s="532" t="s">
        <v>904</v>
      </c>
      <c r="D494" s="646" t="s">
        <v>905</v>
      </c>
      <c r="E494" s="681">
        <v>0</v>
      </c>
      <c r="F494" s="681">
        <v>24</v>
      </c>
      <c r="G494" s="681">
        <v>0</v>
      </c>
      <c r="H494" s="681">
        <v>0</v>
      </c>
      <c r="I494" s="681">
        <v>24</v>
      </c>
      <c r="J494" s="681">
        <v>26</v>
      </c>
      <c r="K494" s="681">
        <v>50</v>
      </c>
      <c r="L494" s="681">
        <v>2</v>
      </c>
      <c r="M494" s="675"/>
      <c r="N494" s="667">
        <v>0.4</v>
      </c>
      <c r="O494" s="668">
        <v>0.6</v>
      </c>
      <c r="P494" s="676"/>
    </row>
    <row r="495" spans="1:16" ht="25.5" thickBot="1" x14ac:dyDescent="0.3">
      <c r="A495" s="655" t="s">
        <v>906</v>
      </c>
      <c r="B495" s="368" t="s">
        <v>907</v>
      </c>
      <c r="C495" s="706" t="s">
        <v>908</v>
      </c>
      <c r="D495" s="646" t="s">
        <v>909</v>
      </c>
      <c r="E495" s="652">
        <v>14</v>
      </c>
      <c r="F495" s="652">
        <v>10</v>
      </c>
      <c r="G495" s="652">
        <v>0</v>
      </c>
      <c r="H495" s="652">
        <v>0</v>
      </c>
      <c r="I495" s="652">
        <v>24</v>
      </c>
      <c r="J495" s="652">
        <v>26</v>
      </c>
      <c r="K495" s="652">
        <v>50</v>
      </c>
      <c r="L495" s="652">
        <v>2</v>
      </c>
      <c r="M495" s="653">
        <v>6</v>
      </c>
      <c r="N495" s="667">
        <v>0.4</v>
      </c>
      <c r="O495" s="668">
        <v>0.6</v>
      </c>
      <c r="P495" s="368" t="s">
        <v>910</v>
      </c>
    </row>
    <row r="496" spans="1:16" ht="25.5" thickBot="1" x14ac:dyDescent="0.3">
      <c r="A496" s="407"/>
      <c r="B496" s="373"/>
      <c r="C496" s="706" t="s">
        <v>911</v>
      </c>
      <c r="D496" s="646" t="s">
        <v>912</v>
      </c>
      <c r="E496" s="542">
        <v>14</v>
      </c>
      <c r="F496" s="542">
        <v>10</v>
      </c>
      <c r="G496" s="542">
        <v>0</v>
      </c>
      <c r="H496" s="542">
        <v>0</v>
      </c>
      <c r="I496" s="542">
        <v>24</v>
      </c>
      <c r="J496" s="542">
        <v>26</v>
      </c>
      <c r="K496" s="542">
        <v>50</v>
      </c>
      <c r="L496" s="542">
        <v>2</v>
      </c>
      <c r="M496" s="648"/>
      <c r="N496" s="667">
        <v>0.4</v>
      </c>
      <c r="O496" s="668">
        <v>0.6</v>
      </c>
      <c r="P496" s="373"/>
    </row>
    <row r="497" spans="1:16" ht="37.5" thickBot="1" x14ac:dyDescent="0.3">
      <c r="A497" s="707"/>
      <c r="B497" s="380"/>
      <c r="C497" s="706" t="s">
        <v>913</v>
      </c>
      <c r="D497" s="646" t="s">
        <v>914</v>
      </c>
      <c r="E497" s="657">
        <v>14</v>
      </c>
      <c r="F497" s="657">
        <v>10</v>
      </c>
      <c r="G497" s="657">
        <v>0</v>
      </c>
      <c r="H497" s="657">
        <v>0</v>
      </c>
      <c r="I497" s="657">
        <v>24</v>
      </c>
      <c r="J497" s="657">
        <v>26</v>
      </c>
      <c r="K497" s="657">
        <v>50</v>
      </c>
      <c r="L497" s="657">
        <v>2</v>
      </c>
      <c r="M497" s="654"/>
      <c r="N497" s="667">
        <v>0.4</v>
      </c>
      <c r="O497" s="668">
        <v>0.6</v>
      </c>
      <c r="P497" s="380"/>
    </row>
    <row r="498" spans="1:16" ht="15.75" thickBot="1" x14ac:dyDescent="0.3">
      <c r="A498" s="641" t="s">
        <v>67</v>
      </c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642"/>
      <c r="P498" s="642"/>
    </row>
    <row r="499" spans="1:16" ht="15.75" thickBot="1" x14ac:dyDescent="0.3">
      <c r="A499" s="708" t="s">
        <v>772</v>
      </c>
      <c r="B499" s="709" t="s">
        <v>674</v>
      </c>
      <c r="C499" s="671" t="s">
        <v>772</v>
      </c>
      <c r="D499" s="646" t="s">
        <v>674</v>
      </c>
      <c r="E499" s="672">
        <v>0</v>
      </c>
      <c r="F499" s="672">
        <v>24</v>
      </c>
      <c r="G499" s="672">
        <v>0</v>
      </c>
      <c r="H499" s="672">
        <v>0</v>
      </c>
      <c r="I499" s="672">
        <v>24</v>
      </c>
      <c r="J499" s="672">
        <v>26</v>
      </c>
      <c r="K499" s="672">
        <v>50</v>
      </c>
      <c r="L499" s="672">
        <v>2</v>
      </c>
      <c r="M499" s="672">
        <v>2</v>
      </c>
      <c r="N499" s="667">
        <v>0.4</v>
      </c>
      <c r="O499" s="668">
        <v>0.6</v>
      </c>
      <c r="P499" s="710" t="s">
        <v>676</v>
      </c>
    </row>
    <row r="500" spans="1:16" ht="15.75" thickBot="1" x14ac:dyDescent="0.3">
      <c r="A500" s="677" t="s">
        <v>773</v>
      </c>
      <c r="B500" s="677"/>
      <c r="C500" s="677"/>
      <c r="D500" s="678"/>
      <c r="E500" s="679">
        <f>E483+E484+E485+E486+E487+E488+E489+E490+E491+E492+E493+E494+E495+E496+E497+E499</f>
        <v>194</v>
      </c>
      <c r="F500" s="679">
        <f t="shared" ref="F500:M500" si="14">F483+F484+F485+F486+F487+F488+F489+F490+F491+F492+F493+F494+F495+F496+F497+F499</f>
        <v>166</v>
      </c>
      <c r="G500" s="679">
        <f t="shared" si="14"/>
        <v>0</v>
      </c>
      <c r="H500" s="679">
        <f t="shared" si="14"/>
        <v>0</v>
      </c>
      <c r="I500" s="679">
        <f t="shared" si="14"/>
        <v>360</v>
      </c>
      <c r="J500" s="679">
        <f t="shared" si="14"/>
        <v>390</v>
      </c>
      <c r="K500" s="679">
        <f t="shared" si="14"/>
        <v>750</v>
      </c>
      <c r="L500" s="679">
        <f t="shared" si="14"/>
        <v>30</v>
      </c>
      <c r="M500" s="679">
        <f t="shared" si="14"/>
        <v>30</v>
      </c>
      <c r="N500" s="679"/>
      <c r="O500" s="679"/>
      <c r="P500" s="412"/>
    </row>
    <row r="501" spans="1:16" x14ac:dyDescent="0.25">
      <c r="A501" s="631"/>
      <c r="B501" s="631"/>
      <c r="C501" s="631"/>
      <c r="D501" s="631"/>
      <c r="E501" s="631"/>
      <c r="F501" s="631"/>
      <c r="G501" s="631"/>
      <c r="H501" s="631"/>
      <c r="I501" s="631"/>
      <c r="J501" s="631"/>
      <c r="K501" s="631"/>
      <c r="L501" s="631"/>
      <c r="M501" s="631"/>
      <c r="N501" s="631"/>
      <c r="O501" s="631"/>
      <c r="P501" s="632"/>
    </row>
    <row r="502" spans="1:16" x14ac:dyDescent="0.25">
      <c r="A502" s="532"/>
      <c r="B502" s="533"/>
      <c r="C502" s="534"/>
      <c r="D502" s="535"/>
      <c r="E502" s="536"/>
      <c r="F502" s="536"/>
      <c r="G502" s="536"/>
      <c r="H502" s="536"/>
      <c r="I502" s="536"/>
      <c r="J502" s="536"/>
      <c r="K502" s="536"/>
      <c r="L502" s="536"/>
      <c r="M502" s="536"/>
      <c r="N502" s="534"/>
      <c r="O502" s="534"/>
      <c r="P502" s="292"/>
    </row>
    <row r="503" spans="1:16" x14ac:dyDescent="0.25">
      <c r="A503" s="532"/>
      <c r="B503" s="533"/>
      <c r="C503" s="534"/>
      <c r="D503" s="633" t="s">
        <v>915</v>
      </c>
      <c r="E503" s="536"/>
      <c r="F503" s="536"/>
      <c r="G503" s="536"/>
      <c r="H503" s="536"/>
      <c r="I503" s="536"/>
      <c r="J503" s="536"/>
      <c r="K503" s="536"/>
      <c r="L503" s="536"/>
      <c r="M503" s="536"/>
      <c r="N503" s="534"/>
      <c r="O503" s="534"/>
      <c r="P503" s="292"/>
    </row>
    <row r="504" spans="1:16" ht="15.75" thickBot="1" x14ac:dyDescent="0.3">
      <c r="A504" s="532"/>
      <c r="B504" s="533"/>
      <c r="C504" s="534"/>
      <c r="D504" s="633"/>
      <c r="E504" s="536"/>
      <c r="F504" s="536"/>
      <c r="G504" s="536"/>
      <c r="H504" s="536"/>
      <c r="I504" s="536"/>
      <c r="J504" s="536"/>
      <c r="K504" s="536"/>
      <c r="L504" s="536"/>
      <c r="M504" s="536"/>
      <c r="N504" s="534"/>
      <c r="O504" s="534"/>
      <c r="P504" s="292"/>
    </row>
    <row r="505" spans="1:16" x14ac:dyDescent="0.25">
      <c r="A505" s="635"/>
      <c r="B505" s="476" t="s">
        <v>248</v>
      </c>
      <c r="C505" s="476"/>
      <c r="D505" s="476"/>
      <c r="E505" s="476" t="s">
        <v>249</v>
      </c>
      <c r="F505" s="476"/>
      <c r="G505" s="476"/>
      <c r="H505" s="476"/>
      <c r="I505" s="476"/>
      <c r="J505" s="476"/>
      <c r="K505" s="476"/>
      <c r="L505" s="420" t="s">
        <v>250</v>
      </c>
      <c r="M505" s="360" t="s">
        <v>251</v>
      </c>
      <c r="N505" s="42" t="s">
        <v>11</v>
      </c>
      <c r="O505" s="42"/>
      <c r="P505" s="360" t="s">
        <v>12</v>
      </c>
    </row>
    <row r="506" spans="1:16" ht="15.75" thickBot="1" x14ac:dyDescent="0.3">
      <c r="A506" s="636" t="s">
        <v>252</v>
      </c>
      <c r="B506" s="637" t="s">
        <v>253</v>
      </c>
      <c r="C506" s="638" t="s">
        <v>254</v>
      </c>
      <c r="D506" s="639" t="s">
        <v>16</v>
      </c>
      <c r="E506" s="639" t="s">
        <v>255</v>
      </c>
      <c r="F506" s="639" t="s">
        <v>18</v>
      </c>
      <c r="G506" s="639" t="s">
        <v>19</v>
      </c>
      <c r="H506" s="639" t="s">
        <v>20</v>
      </c>
      <c r="I506" s="362" t="s">
        <v>21</v>
      </c>
      <c r="J506" s="639" t="s">
        <v>22</v>
      </c>
      <c r="K506" s="639" t="s">
        <v>23</v>
      </c>
      <c r="L506" s="466"/>
      <c r="M506" s="363"/>
      <c r="N506" s="640" t="s">
        <v>24</v>
      </c>
      <c r="O506" s="640" t="s">
        <v>25</v>
      </c>
      <c r="P506" s="363"/>
    </row>
    <row r="507" spans="1:16" ht="15.75" thickBot="1" x14ac:dyDescent="0.3">
      <c r="A507" s="641" t="s">
        <v>406</v>
      </c>
      <c r="B507" s="642"/>
      <c r="C507" s="642"/>
      <c r="D507" s="642"/>
      <c r="E507" s="642"/>
      <c r="F507" s="642"/>
      <c r="G507" s="642"/>
      <c r="H507" s="642"/>
      <c r="I507" s="642"/>
      <c r="J507" s="642"/>
      <c r="K507" s="642"/>
      <c r="L507" s="642"/>
      <c r="M507" s="642"/>
      <c r="N507" s="642"/>
      <c r="O507" s="642"/>
      <c r="P507" s="642"/>
    </row>
    <row r="508" spans="1:16" ht="48.75" thickBot="1" x14ac:dyDescent="0.3">
      <c r="A508" s="711" t="s">
        <v>775</v>
      </c>
      <c r="B508" s="712" t="s">
        <v>916</v>
      </c>
      <c r="C508" s="711" t="s">
        <v>775</v>
      </c>
      <c r="D508" s="712" t="s">
        <v>916</v>
      </c>
      <c r="E508" s="652">
        <v>0</v>
      </c>
      <c r="F508" s="652">
        <v>0</v>
      </c>
      <c r="G508" s="652">
        <v>0</v>
      </c>
      <c r="H508" s="652">
        <v>0</v>
      </c>
      <c r="I508" s="652">
        <v>360</v>
      </c>
      <c r="J508" s="652">
        <v>390</v>
      </c>
      <c r="K508" s="652">
        <v>750</v>
      </c>
      <c r="L508" s="652">
        <v>30</v>
      </c>
      <c r="M508" s="713">
        <v>30</v>
      </c>
      <c r="N508" s="667"/>
      <c r="O508" s="668"/>
      <c r="P508" s="369" t="s">
        <v>446</v>
      </c>
    </row>
    <row r="509" spans="1:16" ht="15.75" thickBot="1" x14ac:dyDescent="0.3">
      <c r="A509" s="677" t="s">
        <v>917</v>
      </c>
      <c r="B509" s="677"/>
      <c r="C509" s="677"/>
      <c r="D509" s="678"/>
      <c r="E509" s="679">
        <f>E508</f>
        <v>0</v>
      </c>
      <c r="F509" s="679">
        <f t="shared" ref="F509:M509" si="15">F508</f>
        <v>0</v>
      </c>
      <c r="G509" s="679">
        <f t="shared" si="15"/>
        <v>0</v>
      </c>
      <c r="H509" s="679">
        <f t="shared" si="15"/>
        <v>0</v>
      </c>
      <c r="I509" s="679">
        <f t="shared" si="15"/>
        <v>360</v>
      </c>
      <c r="J509" s="679">
        <f t="shared" si="15"/>
        <v>390</v>
      </c>
      <c r="K509" s="679">
        <f t="shared" si="15"/>
        <v>750</v>
      </c>
      <c r="L509" s="679">
        <f t="shared" si="15"/>
        <v>30</v>
      </c>
      <c r="M509" s="679">
        <f t="shared" si="15"/>
        <v>30</v>
      </c>
      <c r="N509" s="679"/>
      <c r="O509" s="679"/>
      <c r="P509" s="412"/>
    </row>
    <row r="534" spans="1:16" x14ac:dyDescent="0.25">
      <c r="A534" s="709"/>
      <c r="B534" s="715"/>
      <c r="C534" s="698"/>
      <c r="D534" s="229" t="s">
        <v>0</v>
      </c>
      <c r="E534" s="228"/>
      <c r="F534" s="228"/>
      <c r="G534" s="228"/>
      <c r="H534" s="715"/>
      <c r="I534" s="715"/>
      <c r="J534" s="715"/>
      <c r="K534" s="715"/>
      <c r="L534" s="715"/>
      <c r="M534" s="715"/>
      <c r="N534" s="715"/>
      <c r="O534" s="715"/>
      <c r="P534" s="715"/>
    </row>
    <row r="535" spans="1:16" x14ac:dyDescent="0.25">
      <c r="A535" s="709"/>
      <c r="B535" s="715"/>
      <c r="C535" s="698"/>
      <c r="D535" s="229" t="s">
        <v>1</v>
      </c>
      <c r="E535" s="228"/>
      <c r="F535" s="228"/>
      <c r="G535" s="228"/>
      <c r="H535" s="715"/>
      <c r="I535" s="715"/>
      <c r="J535" s="715"/>
      <c r="K535" s="715"/>
      <c r="L535" s="715"/>
      <c r="M535" s="715"/>
      <c r="N535" s="715"/>
      <c r="O535" s="715"/>
      <c r="P535" s="715"/>
    </row>
    <row r="536" spans="1:16" x14ac:dyDescent="0.25">
      <c r="A536" s="709"/>
      <c r="B536" s="715"/>
      <c r="C536" s="698"/>
      <c r="D536" s="229" t="s">
        <v>244</v>
      </c>
      <c r="E536" s="231"/>
      <c r="F536" s="231"/>
      <c r="G536" s="231"/>
      <c r="H536" s="715"/>
      <c r="I536" s="715"/>
      <c r="J536" s="715"/>
      <c r="K536" s="715"/>
      <c r="L536" s="715"/>
      <c r="M536" s="715"/>
      <c r="N536" s="715"/>
      <c r="O536" s="715"/>
      <c r="P536" s="715"/>
    </row>
    <row r="537" spans="1:16" x14ac:dyDescent="0.25">
      <c r="A537" s="709"/>
      <c r="B537" s="715"/>
      <c r="C537" s="698"/>
      <c r="D537" s="229" t="s">
        <v>3</v>
      </c>
      <c r="E537" s="231"/>
      <c r="F537" s="231"/>
      <c r="G537" s="231"/>
      <c r="H537" s="715"/>
      <c r="I537" s="715"/>
      <c r="J537" s="715"/>
      <c r="K537" s="715"/>
      <c r="L537" s="715"/>
      <c r="M537" s="715"/>
      <c r="N537" s="715"/>
      <c r="O537" s="715"/>
      <c r="P537" s="715"/>
    </row>
    <row r="538" spans="1:16" x14ac:dyDescent="0.25">
      <c r="A538" s="709"/>
      <c r="B538" s="715"/>
      <c r="C538" s="698"/>
      <c r="D538" s="233" t="s">
        <v>245</v>
      </c>
      <c r="E538" s="231"/>
      <c r="F538" s="231"/>
      <c r="G538" s="231"/>
      <c r="H538" s="715"/>
      <c r="I538" s="715"/>
      <c r="J538" s="715"/>
      <c r="K538" s="715"/>
      <c r="L538" s="715"/>
      <c r="M538" s="715"/>
      <c r="N538" s="715"/>
      <c r="O538" s="715"/>
      <c r="P538" s="715"/>
    </row>
    <row r="539" spans="1:16" x14ac:dyDescent="0.25">
      <c r="A539" s="709"/>
      <c r="B539" s="715"/>
      <c r="C539" s="698"/>
      <c r="D539" s="229" t="s">
        <v>918</v>
      </c>
      <c r="E539" s="231"/>
      <c r="F539" s="231"/>
      <c r="G539" s="231"/>
      <c r="H539" s="715"/>
      <c r="I539" s="715"/>
      <c r="J539" s="715"/>
      <c r="K539" s="715"/>
      <c r="L539" s="715"/>
      <c r="M539" s="715"/>
      <c r="N539" s="715"/>
      <c r="O539" s="715"/>
      <c r="P539" s="715"/>
    </row>
    <row r="540" spans="1:16" ht="15.75" thickBot="1" x14ac:dyDescent="0.3">
      <c r="A540" s="709"/>
      <c r="B540" s="715"/>
      <c r="C540" s="698"/>
      <c r="D540" s="716" t="s">
        <v>919</v>
      </c>
      <c r="E540" s="272"/>
      <c r="F540" s="272"/>
      <c r="G540" s="272"/>
      <c r="H540" s="715"/>
      <c r="I540" s="715"/>
      <c r="J540" s="715"/>
      <c r="K540" s="715"/>
      <c r="L540" s="715"/>
      <c r="M540" s="715"/>
      <c r="N540" s="715"/>
      <c r="O540" s="715"/>
      <c r="P540" s="715"/>
    </row>
    <row r="541" spans="1:16" x14ac:dyDescent="0.25">
      <c r="A541" s="717" t="s">
        <v>248</v>
      </c>
      <c r="B541" s="717"/>
      <c r="C541" s="717"/>
      <c r="D541" s="718"/>
      <c r="E541" s="278" t="s">
        <v>249</v>
      </c>
      <c r="F541" s="278"/>
      <c r="G541" s="278"/>
      <c r="H541" s="278"/>
      <c r="I541" s="278"/>
      <c r="J541" s="278"/>
      <c r="K541" s="278"/>
      <c r="L541" s="278" t="s">
        <v>250</v>
      </c>
      <c r="M541" s="280" t="s">
        <v>251</v>
      </c>
      <c r="N541" s="719" t="s">
        <v>11</v>
      </c>
      <c r="O541" s="719"/>
      <c r="P541" s="280" t="s">
        <v>12</v>
      </c>
    </row>
    <row r="542" spans="1:16" ht="24.75" thickBot="1" x14ac:dyDescent="0.3">
      <c r="A542" s="720" t="s">
        <v>252</v>
      </c>
      <c r="B542" s="721" t="s">
        <v>253</v>
      </c>
      <c r="C542" s="268" t="s">
        <v>254</v>
      </c>
      <c r="D542" s="268" t="s">
        <v>16</v>
      </c>
      <c r="E542" s="268" t="s">
        <v>255</v>
      </c>
      <c r="F542" s="268" t="s">
        <v>18</v>
      </c>
      <c r="G542" s="268" t="s">
        <v>19</v>
      </c>
      <c r="H542" s="268" t="s">
        <v>20</v>
      </c>
      <c r="I542" s="722" t="s">
        <v>21</v>
      </c>
      <c r="J542" s="268" t="s">
        <v>22</v>
      </c>
      <c r="K542" s="268" t="s">
        <v>23</v>
      </c>
      <c r="L542" s="267"/>
      <c r="M542" s="723"/>
      <c r="N542" s="724" t="s">
        <v>24</v>
      </c>
      <c r="O542" s="724" t="s">
        <v>25</v>
      </c>
      <c r="P542" s="723"/>
    </row>
    <row r="543" spans="1:16" ht="15.75" thickBot="1" x14ac:dyDescent="0.3">
      <c r="A543" s="725" t="s">
        <v>406</v>
      </c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</row>
    <row r="544" spans="1:16" ht="25.5" thickBot="1" x14ac:dyDescent="0.3">
      <c r="A544" s="727" t="s">
        <v>920</v>
      </c>
      <c r="B544" s="728" t="s">
        <v>921</v>
      </c>
      <c r="C544" s="706" t="s">
        <v>922</v>
      </c>
      <c r="D544" s="729" t="s">
        <v>923</v>
      </c>
      <c r="E544" s="730">
        <v>30</v>
      </c>
      <c r="F544" s="730">
        <v>0</v>
      </c>
      <c r="G544" s="730">
        <v>18</v>
      </c>
      <c r="H544" s="730">
        <v>0</v>
      </c>
      <c r="I544" s="730">
        <f>SUM(E544:H544)</f>
        <v>48</v>
      </c>
      <c r="J544" s="730">
        <v>52</v>
      </c>
      <c r="K544" s="730">
        <f>SUM(I544:J544)</f>
        <v>100</v>
      </c>
      <c r="L544" s="730">
        <v>4</v>
      </c>
      <c r="M544" s="731">
        <v>6</v>
      </c>
      <c r="N544" s="732">
        <v>0.4</v>
      </c>
      <c r="O544" s="732">
        <v>0.6</v>
      </c>
      <c r="P544" s="733" t="s">
        <v>924</v>
      </c>
    </row>
    <row r="545" spans="1:16" ht="15.75" thickBot="1" x14ac:dyDescent="0.3">
      <c r="A545" s="734"/>
      <c r="B545" s="735"/>
      <c r="C545" s="706" t="s">
        <v>925</v>
      </c>
      <c r="D545" s="736" t="s">
        <v>628</v>
      </c>
      <c r="E545" s="252">
        <v>10</v>
      </c>
      <c r="F545" s="252">
        <v>0</v>
      </c>
      <c r="G545" s="252">
        <v>14</v>
      </c>
      <c r="H545" s="252">
        <v>0</v>
      </c>
      <c r="I545" s="730">
        <f t="shared" ref="I545:I560" si="16">SUM(E545:H545)</f>
        <v>24</v>
      </c>
      <c r="J545" s="252">
        <v>26</v>
      </c>
      <c r="K545" s="730">
        <f t="shared" ref="K545:K560" si="17">SUM(I545:J545)</f>
        <v>50</v>
      </c>
      <c r="L545" s="252">
        <v>2</v>
      </c>
      <c r="M545" s="731"/>
      <c r="N545" s="732">
        <v>0.4</v>
      </c>
      <c r="O545" s="732">
        <v>0.6</v>
      </c>
      <c r="P545" s="737"/>
    </row>
    <row r="546" spans="1:16" ht="15.75" thickBot="1" x14ac:dyDescent="0.3">
      <c r="A546" s="727" t="s">
        <v>926</v>
      </c>
      <c r="B546" s="727" t="s">
        <v>927</v>
      </c>
      <c r="C546" s="706" t="s">
        <v>928</v>
      </c>
      <c r="D546" s="738" t="s">
        <v>929</v>
      </c>
      <c r="E546" s="252">
        <v>30</v>
      </c>
      <c r="F546" s="252">
        <v>8</v>
      </c>
      <c r="G546" s="252">
        <v>10</v>
      </c>
      <c r="H546" s="252">
        <v>0</v>
      </c>
      <c r="I546" s="730">
        <f t="shared" si="16"/>
        <v>48</v>
      </c>
      <c r="J546" s="252">
        <v>52</v>
      </c>
      <c r="K546" s="730">
        <f t="shared" si="17"/>
        <v>100</v>
      </c>
      <c r="L546" s="252">
        <v>4</v>
      </c>
      <c r="M546" s="254">
        <v>6</v>
      </c>
      <c r="N546" s="732">
        <v>0.4</v>
      </c>
      <c r="O546" s="732">
        <v>0.6</v>
      </c>
      <c r="P546" s="251" t="s">
        <v>930</v>
      </c>
    </row>
    <row r="547" spans="1:16" x14ac:dyDescent="0.25">
      <c r="A547" s="734"/>
      <c r="B547" s="734"/>
      <c r="C547" s="706" t="s">
        <v>931</v>
      </c>
      <c r="D547" s="729" t="s">
        <v>932</v>
      </c>
      <c r="E547" s="252">
        <v>14</v>
      </c>
      <c r="F547" s="252">
        <v>10</v>
      </c>
      <c r="G547" s="252">
        <v>0</v>
      </c>
      <c r="H547" s="252">
        <v>0</v>
      </c>
      <c r="I547" s="730">
        <f t="shared" si="16"/>
        <v>24</v>
      </c>
      <c r="J547" s="252">
        <v>26</v>
      </c>
      <c r="K547" s="730">
        <f t="shared" si="17"/>
        <v>50</v>
      </c>
      <c r="L547" s="252">
        <v>2</v>
      </c>
      <c r="M547" s="254"/>
      <c r="N547" s="732">
        <v>0.4</v>
      </c>
      <c r="O547" s="732">
        <v>0.6</v>
      </c>
      <c r="P547" s="251"/>
    </row>
    <row r="548" spans="1:16" ht="24.75" x14ac:dyDescent="0.25">
      <c r="A548" s="727" t="s">
        <v>933</v>
      </c>
      <c r="B548" s="727" t="s">
        <v>934</v>
      </c>
      <c r="C548" s="252" t="s">
        <v>935</v>
      </c>
      <c r="D548" s="729" t="s">
        <v>936</v>
      </c>
      <c r="E548" s="252">
        <v>21</v>
      </c>
      <c r="F548" s="252">
        <v>0</v>
      </c>
      <c r="G548" s="252">
        <v>15</v>
      </c>
      <c r="H548" s="252">
        <v>0</v>
      </c>
      <c r="I548" s="730">
        <f t="shared" si="16"/>
        <v>36</v>
      </c>
      <c r="J548" s="252">
        <v>39</v>
      </c>
      <c r="K548" s="730">
        <f t="shared" si="17"/>
        <v>75</v>
      </c>
      <c r="L548" s="252">
        <v>3</v>
      </c>
      <c r="M548" s="731">
        <v>6</v>
      </c>
      <c r="N548" s="732">
        <v>0.4</v>
      </c>
      <c r="O548" s="732">
        <v>0.6</v>
      </c>
      <c r="P548" s="251" t="s">
        <v>937</v>
      </c>
    </row>
    <row r="549" spans="1:16" ht="24.75" x14ac:dyDescent="0.25">
      <c r="A549" s="739"/>
      <c r="B549" s="739"/>
      <c r="C549" s="252" t="s">
        <v>938</v>
      </c>
      <c r="D549" s="729" t="s">
        <v>939</v>
      </c>
      <c r="E549" s="740">
        <v>15</v>
      </c>
      <c r="F549" s="740">
        <v>0</v>
      </c>
      <c r="G549" s="740">
        <v>9</v>
      </c>
      <c r="H549" s="740">
        <v>0</v>
      </c>
      <c r="I549" s="730">
        <f t="shared" si="16"/>
        <v>24</v>
      </c>
      <c r="J549" s="740">
        <v>26</v>
      </c>
      <c r="K549" s="730">
        <f t="shared" si="17"/>
        <v>50</v>
      </c>
      <c r="L549" s="740">
        <v>2</v>
      </c>
      <c r="M549" s="731"/>
      <c r="N549" s="732">
        <v>0.4</v>
      </c>
      <c r="O549" s="732">
        <v>0.6</v>
      </c>
      <c r="P549" s="251"/>
    </row>
    <row r="550" spans="1:16" ht="24.75" x14ac:dyDescent="0.25">
      <c r="A550" s="734"/>
      <c r="B550" s="739"/>
      <c r="C550" s="252" t="s">
        <v>940</v>
      </c>
      <c r="D550" s="741" t="s">
        <v>941</v>
      </c>
      <c r="E550" s="742">
        <v>7</v>
      </c>
      <c r="F550" s="742">
        <v>0</v>
      </c>
      <c r="G550" s="742">
        <v>5</v>
      </c>
      <c r="H550" s="742">
        <v>0</v>
      </c>
      <c r="I550" s="730">
        <f t="shared" si="16"/>
        <v>12</v>
      </c>
      <c r="J550" s="742">
        <v>13</v>
      </c>
      <c r="K550" s="730">
        <f t="shared" si="17"/>
        <v>25</v>
      </c>
      <c r="L550" s="742">
        <v>1</v>
      </c>
      <c r="M550" s="731"/>
      <c r="N550" s="732">
        <v>0.4</v>
      </c>
      <c r="O550" s="732">
        <v>0.6</v>
      </c>
      <c r="P550" s="251"/>
    </row>
    <row r="551" spans="1:16" x14ac:dyDescent="0.25">
      <c r="A551" s="743" t="s">
        <v>62</v>
      </c>
      <c r="B551" s="743"/>
      <c r="C551" s="743"/>
      <c r="D551" s="743"/>
      <c r="E551" s="743"/>
      <c r="F551" s="743"/>
      <c r="G551" s="743"/>
      <c r="H551" s="743"/>
      <c r="I551" s="743"/>
      <c r="J551" s="743"/>
      <c r="K551" s="743"/>
      <c r="L551" s="743"/>
      <c r="M551" s="743"/>
      <c r="N551" s="743"/>
      <c r="O551" s="743"/>
      <c r="P551" s="743"/>
    </row>
    <row r="552" spans="1:16" x14ac:dyDescent="0.25">
      <c r="A552" s="727" t="s">
        <v>942</v>
      </c>
      <c r="B552" s="727" t="s">
        <v>655</v>
      </c>
      <c r="C552" s="744" t="s">
        <v>943</v>
      </c>
      <c r="D552" s="729" t="s">
        <v>657</v>
      </c>
      <c r="E552" s="284">
        <v>5</v>
      </c>
      <c r="F552" s="284">
        <v>7</v>
      </c>
      <c r="G552" s="284">
        <v>0</v>
      </c>
      <c r="H552" s="284">
        <v>0</v>
      </c>
      <c r="I552" s="730">
        <f t="shared" si="16"/>
        <v>12</v>
      </c>
      <c r="J552" s="284">
        <v>13</v>
      </c>
      <c r="K552" s="730">
        <f t="shared" si="17"/>
        <v>25</v>
      </c>
      <c r="L552" s="284">
        <v>1</v>
      </c>
      <c r="M552" s="745">
        <v>3</v>
      </c>
      <c r="N552" s="732">
        <v>0.4</v>
      </c>
      <c r="O552" s="732">
        <v>0.6</v>
      </c>
      <c r="P552" s="692" t="s">
        <v>944</v>
      </c>
    </row>
    <row r="553" spans="1:16" ht="24.75" x14ac:dyDescent="0.25">
      <c r="A553" s="734"/>
      <c r="B553" s="734"/>
      <c r="C553" s="744" t="s">
        <v>945</v>
      </c>
      <c r="D553" s="729" t="s">
        <v>659</v>
      </c>
      <c r="E553" s="284">
        <v>10</v>
      </c>
      <c r="F553" s="284">
        <v>14</v>
      </c>
      <c r="G553" s="284">
        <v>0</v>
      </c>
      <c r="H553" s="284">
        <v>0</v>
      </c>
      <c r="I553" s="730">
        <f t="shared" si="16"/>
        <v>24</v>
      </c>
      <c r="J553" s="284">
        <v>26</v>
      </c>
      <c r="K553" s="730">
        <f t="shared" si="17"/>
        <v>50</v>
      </c>
      <c r="L553" s="284">
        <v>2</v>
      </c>
      <c r="M553" s="746"/>
      <c r="N553" s="732">
        <v>0.4</v>
      </c>
      <c r="O553" s="732">
        <v>0.6</v>
      </c>
      <c r="P553" s="687"/>
    </row>
    <row r="554" spans="1:16" x14ac:dyDescent="0.25">
      <c r="A554" s="747" t="s">
        <v>946</v>
      </c>
      <c r="B554" s="748" t="s">
        <v>668</v>
      </c>
      <c r="C554" s="744" t="s">
        <v>947</v>
      </c>
      <c r="D554" s="749" t="s">
        <v>948</v>
      </c>
      <c r="E554" s="730">
        <v>0</v>
      </c>
      <c r="F554" s="730">
        <v>12</v>
      </c>
      <c r="G554" s="730">
        <v>0</v>
      </c>
      <c r="H554" s="730">
        <v>0</v>
      </c>
      <c r="I554" s="730">
        <f t="shared" si="16"/>
        <v>12</v>
      </c>
      <c r="J554" s="730">
        <v>13</v>
      </c>
      <c r="K554" s="730">
        <f t="shared" si="17"/>
        <v>25</v>
      </c>
      <c r="L554" s="730">
        <v>1</v>
      </c>
      <c r="M554" s="254">
        <v>2</v>
      </c>
      <c r="N554" s="732">
        <v>0.4</v>
      </c>
      <c r="O554" s="732">
        <v>0.6</v>
      </c>
      <c r="P554" s="251" t="s">
        <v>949</v>
      </c>
    </row>
    <row r="555" spans="1:16" ht="24.75" x14ac:dyDescent="0.25">
      <c r="A555" s="747"/>
      <c r="B555" s="748"/>
      <c r="C555" s="744" t="s">
        <v>950</v>
      </c>
      <c r="D555" s="729" t="s">
        <v>672</v>
      </c>
      <c r="E555" s="252">
        <v>0</v>
      </c>
      <c r="F555" s="252">
        <v>12</v>
      </c>
      <c r="G555" s="252">
        <v>0</v>
      </c>
      <c r="H555" s="252">
        <v>0</v>
      </c>
      <c r="I555" s="730">
        <f t="shared" si="16"/>
        <v>12</v>
      </c>
      <c r="J555" s="252">
        <v>13</v>
      </c>
      <c r="K555" s="730">
        <f t="shared" si="17"/>
        <v>25</v>
      </c>
      <c r="L555" s="252">
        <v>1</v>
      </c>
      <c r="M555" s="254"/>
      <c r="N555" s="732">
        <v>0.4</v>
      </c>
      <c r="O555" s="732">
        <v>0.6</v>
      </c>
      <c r="P555" s="251"/>
    </row>
    <row r="556" spans="1:16" ht="24.75" x14ac:dyDescent="0.25">
      <c r="A556" s="736" t="s">
        <v>673</v>
      </c>
      <c r="B556" s="750" t="s">
        <v>674</v>
      </c>
      <c r="C556" s="744" t="s">
        <v>673</v>
      </c>
      <c r="D556" s="738" t="s">
        <v>674</v>
      </c>
      <c r="E556" s="252">
        <v>0</v>
      </c>
      <c r="F556" s="252">
        <v>24</v>
      </c>
      <c r="G556" s="252">
        <v>0</v>
      </c>
      <c r="H556" s="252">
        <v>0</v>
      </c>
      <c r="I556" s="730">
        <f t="shared" si="16"/>
        <v>24</v>
      </c>
      <c r="J556" s="252">
        <v>26</v>
      </c>
      <c r="K556" s="730">
        <f t="shared" si="17"/>
        <v>50</v>
      </c>
      <c r="L556" s="252">
        <v>2</v>
      </c>
      <c r="M556" s="252">
        <v>2</v>
      </c>
      <c r="N556" s="732">
        <v>0.4</v>
      </c>
      <c r="O556" s="732">
        <v>0.6</v>
      </c>
      <c r="P556" s="751" t="s">
        <v>951</v>
      </c>
    </row>
    <row r="557" spans="1:16" x14ac:dyDescent="0.25">
      <c r="A557" s="727" t="s">
        <v>952</v>
      </c>
      <c r="B557" s="728" t="s">
        <v>953</v>
      </c>
      <c r="C557" s="744" t="s">
        <v>954</v>
      </c>
      <c r="D557" s="749" t="s">
        <v>955</v>
      </c>
      <c r="E557" s="252">
        <v>12</v>
      </c>
      <c r="F557" s="252">
        <v>0</v>
      </c>
      <c r="G557" s="252">
        <v>0</v>
      </c>
      <c r="H557" s="252">
        <v>0</v>
      </c>
      <c r="I557" s="730">
        <f t="shared" si="16"/>
        <v>12</v>
      </c>
      <c r="J557" s="252">
        <v>13</v>
      </c>
      <c r="K557" s="730">
        <f t="shared" si="17"/>
        <v>25</v>
      </c>
      <c r="L557" s="252">
        <v>1</v>
      </c>
      <c r="M557" s="254">
        <v>2</v>
      </c>
      <c r="N557" s="732">
        <v>0.4</v>
      </c>
      <c r="O557" s="732">
        <v>0.6</v>
      </c>
      <c r="P557" s="733" t="s">
        <v>956</v>
      </c>
    </row>
    <row r="558" spans="1:16" x14ac:dyDescent="0.25">
      <c r="A558" s="734"/>
      <c r="B558" s="735"/>
      <c r="C558" s="744" t="s">
        <v>957</v>
      </c>
      <c r="D558" s="736" t="s">
        <v>371</v>
      </c>
      <c r="E558" s="742">
        <v>7</v>
      </c>
      <c r="F558" s="742">
        <v>5</v>
      </c>
      <c r="G558" s="742">
        <v>0</v>
      </c>
      <c r="H558" s="742">
        <v>0</v>
      </c>
      <c r="I558" s="730">
        <f t="shared" si="16"/>
        <v>12</v>
      </c>
      <c r="J558" s="742">
        <v>13</v>
      </c>
      <c r="K558" s="730">
        <f t="shared" si="17"/>
        <v>25</v>
      </c>
      <c r="L558" s="742">
        <v>1</v>
      </c>
      <c r="M558" s="752"/>
      <c r="N558" s="732">
        <v>0.4</v>
      </c>
      <c r="O558" s="732">
        <v>0.6</v>
      </c>
      <c r="P558" s="737"/>
    </row>
    <row r="559" spans="1:16" x14ac:dyDescent="0.25">
      <c r="A559" s="743" t="s">
        <v>67</v>
      </c>
      <c r="B559" s="743"/>
      <c r="C559" s="743"/>
      <c r="D559" s="743"/>
      <c r="E559" s="743"/>
      <c r="F559" s="743"/>
      <c r="G559" s="743"/>
      <c r="H559" s="743"/>
      <c r="I559" s="743"/>
      <c r="J559" s="743"/>
      <c r="K559" s="743"/>
      <c r="L559" s="743"/>
      <c r="M559" s="743"/>
      <c r="N559" s="743"/>
      <c r="O559" s="743"/>
      <c r="P559" s="743"/>
    </row>
    <row r="560" spans="1:16" ht="15.75" thickBot="1" x14ac:dyDescent="0.3">
      <c r="A560" s="736" t="s">
        <v>958</v>
      </c>
      <c r="B560" s="749" t="s">
        <v>959</v>
      </c>
      <c r="C560" s="753" t="s">
        <v>960</v>
      </c>
      <c r="D560" s="749" t="s">
        <v>959</v>
      </c>
      <c r="E560" s="754">
        <v>11</v>
      </c>
      <c r="F560" s="754">
        <v>25</v>
      </c>
      <c r="G560" s="754"/>
      <c r="H560" s="754">
        <v>0</v>
      </c>
      <c r="I560" s="730">
        <f t="shared" si="16"/>
        <v>36</v>
      </c>
      <c r="J560" s="754">
        <v>39</v>
      </c>
      <c r="K560" s="730">
        <f t="shared" si="17"/>
        <v>75</v>
      </c>
      <c r="L560" s="755">
        <v>3</v>
      </c>
      <c r="M560" s="754">
        <v>3</v>
      </c>
      <c r="N560" s="732">
        <v>0.4</v>
      </c>
      <c r="O560" s="732">
        <v>0.6</v>
      </c>
      <c r="P560" s="755" t="s">
        <v>961</v>
      </c>
    </row>
    <row r="561" spans="1:16" ht="15.75" thickBot="1" x14ac:dyDescent="0.3">
      <c r="A561" s="756" t="s">
        <v>677</v>
      </c>
      <c r="B561" s="756"/>
      <c r="C561" s="756"/>
      <c r="D561" s="757"/>
      <c r="E561" s="758">
        <f>E544+E545+E546+E547+E548+E550+E554+E555+E557+E558+E560</f>
        <v>142</v>
      </c>
      <c r="F561" s="758">
        <f>F544+F545+F546+F547+F548+F550+F554+F555+F557+F558+F560</f>
        <v>72</v>
      </c>
      <c r="G561" s="758">
        <f>G544+G545+G546+G547+G548+G550+G554+G555+G557+G558+G560</f>
        <v>62</v>
      </c>
      <c r="H561" s="758">
        <f>H544+H545+H546+H547+H548+H550+H554+H555+H557+H558+H560</f>
        <v>0</v>
      </c>
      <c r="I561" s="758">
        <f>I544+I545+I546+I547+I548+I549+I550+I552+I553+I554+I555+I556+I557+I558+I560</f>
        <v>360</v>
      </c>
      <c r="J561" s="758">
        <f>J544+J545+J546+J547+J548+J549+J550+J552+J553+J554+J555+J556+J557+J558+J560</f>
        <v>390</v>
      </c>
      <c r="K561" s="758">
        <f>K544+K545+K546+K547+K548+K549+K550+K552+K553+K554+K555+K556+K557+K558+K559+K560</f>
        <v>750</v>
      </c>
      <c r="L561" s="758">
        <f>L544+L545+L546+L547+L548+L550+L554+L555+L557+L558+L560+L552+L553+L549</f>
        <v>28</v>
      </c>
      <c r="M561" s="758">
        <v>30</v>
      </c>
      <c r="N561" s="758"/>
      <c r="O561" s="758"/>
      <c r="P561" s="758"/>
    </row>
    <row r="562" spans="1:16" ht="15.75" thickBot="1" x14ac:dyDescent="0.3">
      <c r="A562" s="272"/>
      <c r="B562" s="273"/>
      <c r="C562" s="276"/>
      <c r="D562" s="716" t="s">
        <v>962</v>
      </c>
      <c r="E562" s="272"/>
      <c r="F562" s="272"/>
      <c r="G562" s="272"/>
      <c r="H562" s="276"/>
      <c r="I562" s="273"/>
      <c r="J562" s="272"/>
      <c r="K562" s="276"/>
      <c r="L562" s="276"/>
      <c r="M562" s="276"/>
      <c r="N562" s="276"/>
      <c r="O562" s="276"/>
      <c r="P562" s="272"/>
    </row>
    <row r="563" spans="1:16" x14ac:dyDescent="0.25">
      <c r="A563" s="759"/>
      <c r="B563" s="278" t="s">
        <v>248</v>
      </c>
      <c r="C563" s="278"/>
      <c r="D563" s="278"/>
      <c r="E563" s="278" t="s">
        <v>249</v>
      </c>
      <c r="F563" s="278"/>
      <c r="G563" s="278"/>
      <c r="H563" s="278"/>
      <c r="I563" s="278"/>
      <c r="J563" s="278"/>
      <c r="K563" s="278"/>
      <c r="L563" s="278" t="s">
        <v>250</v>
      </c>
      <c r="M563" s="280" t="s">
        <v>251</v>
      </c>
      <c r="N563" s="719" t="s">
        <v>11</v>
      </c>
      <c r="O563" s="719"/>
      <c r="P563" s="280" t="s">
        <v>12</v>
      </c>
    </row>
    <row r="564" spans="1:16" ht="24.75" thickBot="1" x14ac:dyDescent="0.3">
      <c r="A564" s="720" t="s">
        <v>252</v>
      </c>
      <c r="B564" s="721" t="s">
        <v>253</v>
      </c>
      <c r="C564" s="268" t="s">
        <v>254</v>
      </c>
      <c r="D564" s="268" t="s">
        <v>16</v>
      </c>
      <c r="E564" s="268" t="s">
        <v>255</v>
      </c>
      <c r="F564" s="268" t="s">
        <v>18</v>
      </c>
      <c r="G564" s="268" t="s">
        <v>19</v>
      </c>
      <c r="H564" s="268" t="s">
        <v>20</v>
      </c>
      <c r="I564" s="722" t="s">
        <v>21</v>
      </c>
      <c r="J564" s="268" t="s">
        <v>22</v>
      </c>
      <c r="K564" s="268" t="s">
        <v>23</v>
      </c>
      <c r="L564" s="267"/>
      <c r="M564" s="723"/>
      <c r="N564" s="724" t="s">
        <v>24</v>
      </c>
      <c r="O564" s="724" t="s">
        <v>25</v>
      </c>
      <c r="P564" s="723"/>
    </row>
    <row r="565" spans="1:16" ht="15.75" thickBot="1" x14ac:dyDescent="0.3">
      <c r="A565" s="725" t="s">
        <v>406</v>
      </c>
      <c r="B565" s="726"/>
      <c r="C565" s="760"/>
      <c r="D565" s="760"/>
      <c r="E565" s="726"/>
      <c r="F565" s="726"/>
      <c r="G565" s="726"/>
      <c r="H565" s="726"/>
      <c r="I565" s="726"/>
      <c r="J565" s="726"/>
      <c r="K565" s="726"/>
      <c r="L565" s="726"/>
      <c r="M565" s="726"/>
      <c r="N565" s="726"/>
      <c r="O565" s="726"/>
      <c r="P565" s="726"/>
    </row>
    <row r="566" spans="1:16" ht="24" x14ac:dyDescent="0.25">
      <c r="A566" s="761" t="s">
        <v>963</v>
      </c>
      <c r="B566" s="762" t="s">
        <v>964</v>
      </c>
      <c r="C566" s="763" t="s">
        <v>965</v>
      </c>
      <c r="D566" s="738" t="s">
        <v>966</v>
      </c>
      <c r="E566" s="764">
        <v>10</v>
      </c>
      <c r="F566" s="730">
        <v>14</v>
      </c>
      <c r="G566" s="730">
        <v>0</v>
      </c>
      <c r="H566" s="730">
        <v>0</v>
      </c>
      <c r="I566" s="730">
        <f>SUM(E566:H566)</f>
        <v>24</v>
      </c>
      <c r="J566" s="730">
        <v>26</v>
      </c>
      <c r="K566" s="730">
        <f>SUM(I566:J566)</f>
        <v>50</v>
      </c>
      <c r="L566" s="730">
        <v>2</v>
      </c>
      <c r="M566" s="731">
        <v>6</v>
      </c>
      <c r="N566" s="732">
        <v>0.4</v>
      </c>
      <c r="O566" s="732">
        <v>0.6</v>
      </c>
      <c r="P566" s="765" t="s">
        <v>930</v>
      </c>
    </row>
    <row r="567" spans="1:16" ht="24" x14ac:dyDescent="0.25">
      <c r="A567" s="761"/>
      <c r="B567" s="766"/>
      <c r="C567" s="763" t="s">
        <v>967</v>
      </c>
      <c r="D567" s="738" t="s">
        <v>968</v>
      </c>
      <c r="E567" s="764">
        <v>21</v>
      </c>
      <c r="F567" s="730">
        <v>15</v>
      </c>
      <c r="G567" s="730">
        <v>0</v>
      </c>
      <c r="H567" s="730">
        <v>0</v>
      </c>
      <c r="I567" s="730">
        <f t="shared" ref="I567:I577" si="18">SUM(E567:H567)</f>
        <v>36</v>
      </c>
      <c r="J567" s="730">
        <v>39</v>
      </c>
      <c r="K567" s="730">
        <f t="shared" ref="K567:K578" si="19">SUM(I567:J567)</f>
        <v>75</v>
      </c>
      <c r="L567" s="730">
        <v>3</v>
      </c>
      <c r="M567" s="731"/>
      <c r="N567" s="732">
        <v>0.4</v>
      </c>
      <c r="O567" s="732">
        <v>0.6</v>
      </c>
      <c r="P567" s="765"/>
    </row>
    <row r="568" spans="1:16" ht="24" x14ac:dyDescent="0.25">
      <c r="A568" s="767"/>
      <c r="B568" s="766"/>
      <c r="C568" s="763" t="s">
        <v>969</v>
      </c>
      <c r="D568" s="738" t="s">
        <v>970</v>
      </c>
      <c r="E568" s="768">
        <v>7</v>
      </c>
      <c r="F568" s="742">
        <v>5</v>
      </c>
      <c r="G568" s="742">
        <v>0</v>
      </c>
      <c r="H568" s="742">
        <v>0</v>
      </c>
      <c r="I568" s="730">
        <f t="shared" si="18"/>
        <v>12</v>
      </c>
      <c r="J568" s="742">
        <v>13</v>
      </c>
      <c r="K568" s="730">
        <f t="shared" si="19"/>
        <v>25</v>
      </c>
      <c r="L568" s="742">
        <v>1</v>
      </c>
      <c r="M568" s="731"/>
      <c r="N568" s="732">
        <v>0.4</v>
      </c>
      <c r="O568" s="732">
        <v>0.6</v>
      </c>
      <c r="P568" s="769"/>
    </row>
    <row r="569" spans="1:16" ht="24" x14ac:dyDescent="0.25">
      <c r="A569" s="770" t="s">
        <v>971</v>
      </c>
      <c r="B569" s="748" t="s">
        <v>972</v>
      </c>
      <c r="C569" s="771" t="s">
        <v>973</v>
      </c>
      <c r="D569" s="738" t="s">
        <v>974</v>
      </c>
      <c r="E569" s="772">
        <v>24</v>
      </c>
      <c r="F569" s="252">
        <v>0</v>
      </c>
      <c r="G569" s="252">
        <v>0</v>
      </c>
      <c r="H569" s="252">
        <v>0</v>
      </c>
      <c r="I569" s="730">
        <f t="shared" si="18"/>
        <v>24</v>
      </c>
      <c r="J569" s="252">
        <v>26</v>
      </c>
      <c r="K569" s="730">
        <f t="shared" si="19"/>
        <v>50</v>
      </c>
      <c r="L569" s="252">
        <v>2</v>
      </c>
      <c r="M569" s="752">
        <v>3</v>
      </c>
      <c r="N569" s="732">
        <v>0.4</v>
      </c>
      <c r="O569" s="732">
        <v>0.6</v>
      </c>
      <c r="P569" s="769" t="s">
        <v>924</v>
      </c>
    </row>
    <row r="570" spans="1:16" ht="24" x14ac:dyDescent="0.25">
      <c r="A570" s="773"/>
      <c r="B570" s="748"/>
      <c r="C570" s="771" t="s">
        <v>975</v>
      </c>
      <c r="D570" s="738" t="s">
        <v>976</v>
      </c>
      <c r="E570" s="772">
        <v>7</v>
      </c>
      <c r="F570" s="252">
        <v>0</v>
      </c>
      <c r="G570" s="252">
        <v>5</v>
      </c>
      <c r="H570" s="252">
        <v>0</v>
      </c>
      <c r="I570" s="730">
        <f t="shared" si="18"/>
        <v>12</v>
      </c>
      <c r="J570" s="252">
        <v>13</v>
      </c>
      <c r="K570" s="730">
        <f t="shared" si="19"/>
        <v>25</v>
      </c>
      <c r="L570" s="252">
        <v>1</v>
      </c>
      <c r="M570" s="774"/>
      <c r="N570" s="732">
        <v>0.4</v>
      </c>
      <c r="O570" s="732">
        <v>0.6</v>
      </c>
      <c r="P570" s="765"/>
    </row>
    <row r="571" spans="1:16" ht="24" x14ac:dyDescent="0.25">
      <c r="A571" s="775" t="s">
        <v>977</v>
      </c>
      <c r="B571" s="776" t="s">
        <v>978</v>
      </c>
      <c r="C571" s="777" t="s">
        <v>979</v>
      </c>
      <c r="D571" s="738" t="s">
        <v>980</v>
      </c>
      <c r="E571" s="764">
        <v>20</v>
      </c>
      <c r="F571" s="730">
        <v>0</v>
      </c>
      <c r="G571" s="730">
        <v>16</v>
      </c>
      <c r="H571" s="730">
        <v>0</v>
      </c>
      <c r="I571" s="730">
        <f t="shared" si="18"/>
        <v>36</v>
      </c>
      <c r="J571" s="730">
        <v>39</v>
      </c>
      <c r="K571" s="730">
        <f t="shared" si="19"/>
        <v>75</v>
      </c>
      <c r="L571" s="730">
        <v>3</v>
      </c>
      <c r="M571" s="731">
        <v>5</v>
      </c>
      <c r="N571" s="732">
        <v>0.4</v>
      </c>
      <c r="O571" s="732">
        <v>0.6</v>
      </c>
      <c r="P571" s="765" t="s">
        <v>981</v>
      </c>
    </row>
    <row r="572" spans="1:16" x14ac:dyDescent="0.25">
      <c r="A572" s="778"/>
      <c r="B572" s="776"/>
      <c r="C572" s="777" t="s">
        <v>982</v>
      </c>
      <c r="D572" s="779" t="s">
        <v>983</v>
      </c>
      <c r="E572" s="768">
        <v>14</v>
      </c>
      <c r="F572" s="742">
        <v>0</v>
      </c>
      <c r="G572" s="742">
        <v>10</v>
      </c>
      <c r="H572" s="742">
        <v>0</v>
      </c>
      <c r="I572" s="730">
        <f t="shared" si="18"/>
        <v>24</v>
      </c>
      <c r="J572" s="742">
        <v>26</v>
      </c>
      <c r="K572" s="730">
        <f t="shared" si="19"/>
        <v>50</v>
      </c>
      <c r="L572" s="742">
        <v>2</v>
      </c>
      <c r="M572" s="731"/>
      <c r="N572" s="732">
        <v>0.4</v>
      </c>
      <c r="O572" s="732">
        <v>0.6</v>
      </c>
      <c r="P572" s="769"/>
    </row>
    <row r="573" spans="1:16" x14ac:dyDescent="0.25">
      <c r="A573" s="743" t="s">
        <v>62</v>
      </c>
      <c r="B573" s="743"/>
      <c r="C573" s="743"/>
      <c r="D573" s="745"/>
      <c r="E573" s="743"/>
      <c r="F573" s="743"/>
      <c r="G573" s="743"/>
      <c r="H573" s="743"/>
      <c r="I573" s="743"/>
      <c r="J573" s="743"/>
      <c r="K573" s="743"/>
      <c r="L573" s="743"/>
      <c r="M573" s="743"/>
      <c r="N573" s="743"/>
      <c r="O573" s="743"/>
      <c r="P573" s="743"/>
    </row>
    <row r="574" spans="1:16" ht="48" x14ac:dyDescent="0.25">
      <c r="A574" s="775" t="s">
        <v>687</v>
      </c>
      <c r="B574" s="727" t="s">
        <v>688</v>
      </c>
      <c r="C574" s="777" t="s">
        <v>689</v>
      </c>
      <c r="D574" s="738" t="s">
        <v>984</v>
      </c>
      <c r="E574" s="764">
        <v>12</v>
      </c>
      <c r="F574" s="730">
        <v>0</v>
      </c>
      <c r="G574" s="730">
        <v>0</v>
      </c>
      <c r="H574" s="730">
        <v>0</v>
      </c>
      <c r="I574" s="730">
        <f t="shared" si="18"/>
        <v>12</v>
      </c>
      <c r="J574" s="730">
        <v>13</v>
      </c>
      <c r="K574" s="730">
        <f t="shared" si="19"/>
        <v>25</v>
      </c>
      <c r="L574" s="730">
        <v>1</v>
      </c>
      <c r="M574" s="731">
        <v>3</v>
      </c>
      <c r="N574" s="732">
        <v>0.4</v>
      </c>
      <c r="O574" s="732">
        <v>0.6</v>
      </c>
      <c r="P574" s="765" t="s">
        <v>985</v>
      </c>
    </row>
    <row r="575" spans="1:16" ht="24" x14ac:dyDescent="0.25">
      <c r="A575" s="780"/>
      <c r="B575" s="739"/>
      <c r="C575" s="777" t="s">
        <v>692</v>
      </c>
      <c r="D575" s="738" t="s">
        <v>986</v>
      </c>
      <c r="E575" s="781">
        <v>12</v>
      </c>
      <c r="F575" s="740">
        <v>0</v>
      </c>
      <c r="G575" s="740">
        <v>0</v>
      </c>
      <c r="H575" s="740">
        <v>0</v>
      </c>
      <c r="I575" s="740">
        <f t="shared" si="18"/>
        <v>12</v>
      </c>
      <c r="J575" s="740">
        <v>13</v>
      </c>
      <c r="K575" s="730">
        <f t="shared" si="19"/>
        <v>25</v>
      </c>
      <c r="L575" s="740">
        <v>1</v>
      </c>
      <c r="M575" s="731"/>
      <c r="N575" s="732">
        <v>0.4</v>
      </c>
      <c r="O575" s="732">
        <v>0.6</v>
      </c>
      <c r="P575" s="782"/>
    </row>
    <row r="576" spans="1:16" x14ac:dyDescent="0.25">
      <c r="A576" s="778"/>
      <c r="B576" s="734"/>
      <c r="C576" s="777" t="s">
        <v>694</v>
      </c>
      <c r="D576" s="738" t="s">
        <v>987</v>
      </c>
      <c r="E576" s="768">
        <v>12</v>
      </c>
      <c r="F576" s="742">
        <v>0</v>
      </c>
      <c r="G576" s="742">
        <v>0</v>
      </c>
      <c r="H576" s="742">
        <v>0</v>
      </c>
      <c r="I576" s="742">
        <f t="shared" si="18"/>
        <v>12</v>
      </c>
      <c r="J576" s="742">
        <v>13</v>
      </c>
      <c r="K576" s="730">
        <f t="shared" si="19"/>
        <v>25</v>
      </c>
      <c r="L576" s="742">
        <v>1</v>
      </c>
      <c r="M576" s="731"/>
      <c r="N576" s="732">
        <v>0.4</v>
      </c>
      <c r="O576" s="732">
        <v>0.6</v>
      </c>
      <c r="P576" s="769"/>
    </row>
    <row r="577" spans="1:16" ht="24" x14ac:dyDescent="0.25">
      <c r="A577" s="783" t="s">
        <v>988</v>
      </c>
      <c r="B577" s="779" t="s">
        <v>989</v>
      </c>
      <c r="C577" s="252" t="s">
        <v>988</v>
      </c>
      <c r="D577" s="784" t="s">
        <v>714</v>
      </c>
      <c r="E577" s="252">
        <v>20</v>
      </c>
      <c r="F577" s="252">
        <v>16</v>
      </c>
      <c r="G577" s="252">
        <v>0</v>
      </c>
      <c r="H577" s="252">
        <v>0</v>
      </c>
      <c r="I577" s="742">
        <f t="shared" si="18"/>
        <v>36</v>
      </c>
      <c r="J577" s="252">
        <v>39</v>
      </c>
      <c r="K577" s="730">
        <f t="shared" si="19"/>
        <v>75</v>
      </c>
      <c r="L577" s="252">
        <v>3</v>
      </c>
      <c r="M577" s="252">
        <v>3</v>
      </c>
      <c r="N577" s="732">
        <v>0.4</v>
      </c>
      <c r="O577" s="732">
        <v>0.6</v>
      </c>
      <c r="P577" s="253" t="s">
        <v>944</v>
      </c>
    </row>
    <row r="578" spans="1:16" ht="24.75" thickBot="1" x14ac:dyDescent="0.3">
      <c r="A578" s="785" t="s">
        <v>716</v>
      </c>
      <c r="B578" s="738" t="s">
        <v>717</v>
      </c>
      <c r="C578" s="772" t="s">
        <v>716</v>
      </c>
      <c r="D578" s="749" t="s">
        <v>717</v>
      </c>
      <c r="E578" s="252">
        <v>0</v>
      </c>
      <c r="F578" s="252">
        <v>0</v>
      </c>
      <c r="G578" s="252">
        <v>0</v>
      </c>
      <c r="H578" s="252">
        <v>120</v>
      </c>
      <c r="I578" s="252">
        <v>120</v>
      </c>
      <c r="J578" s="252">
        <v>130</v>
      </c>
      <c r="K578" s="252">
        <f t="shared" si="19"/>
        <v>250</v>
      </c>
      <c r="L578" s="252">
        <v>10</v>
      </c>
      <c r="M578" s="252">
        <v>10</v>
      </c>
      <c r="N578" s="732">
        <v>0.4</v>
      </c>
      <c r="O578" s="732">
        <v>0.6</v>
      </c>
      <c r="P578" s="783" t="s">
        <v>990</v>
      </c>
    </row>
    <row r="579" spans="1:16" ht="15.75" thickBot="1" x14ac:dyDescent="0.3">
      <c r="A579" s="756" t="s">
        <v>719</v>
      </c>
      <c r="B579" s="786"/>
      <c r="C579" s="756"/>
      <c r="D579" s="787"/>
      <c r="E579" s="758">
        <f>E566+E568+E569+E570+E571+E572+E574+E575+E576+E577+E578</f>
        <v>138</v>
      </c>
      <c r="F579" s="758">
        <f>SUM(F574:F578,F572,F571,F570,F569,F568,F567,F566)</f>
        <v>50</v>
      </c>
      <c r="G579" s="758">
        <f>SUM(G574:G578,G572,G571,G570,G569,G568,G567,G566)</f>
        <v>31</v>
      </c>
      <c r="H579" s="758">
        <f>SUM(H574:H578,H572,H571,H570,H569,H568,H567,H566)</f>
        <v>120</v>
      </c>
      <c r="I579" s="758">
        <f>SUM(I578,I577,I576,I575,I574,I572,I571,I570,I569,I568,I567,I566)</f>
        <v>360</v>
      </c>
      <c r="J579" s="758">
        <f>SUM(J574:J578,J572,J571,J570,J569,J568,J567,J566)</f>
        <v>390</v>
      </c>
      <c r="K579" s="758">
        <f>SUM(K578,K577,K576,K575,K574,K572,K571,K570,K569,K568,K567,K566)</f>
        <v>750</v>
      </c>
      <c r="L579" s="758">
        <v>30</v>
      </c>
      <c r="M579" s="758">
        <v>30</v>
      </c>
      <c r="N579" s="758"/>
      <c r="O579" s="758"/>
      <c r="P579" s="758"/>
    </row>
    <row r="580" spans="1:16" x14ac:dyDescent="0.25">
      <c r="A580" s="709"/>
      <c r="B580" s="715"/>
      <c r="C580" s="698"/>
      <c r="D580" s="715"/>
      <c r="E580" s="715"/>
      <c r="F580" s="715"/>
      <c r="G580" s="715"/>
      <c r="H580" s="715"/>
      <c r="I580" s="715"/>
      <c r="J580" s="715"/>
      <c r="K580" s="715"/>
      <c r="L580" s="715"/>
      <c r="M580" s="715"/>
      <c r="N580" s="715"/>
      <c r="O580" s="715"/>
      <c r="P580" s="715"/>
    </row>
    <row r="581" spans="1:16" x14ac:dyDescent="0.25">
      <c r="A581" s="709"/>
      <c r="B581" s="715"/>
      <c r="C581" s="698"/>
      <c r="D581" s="715"/>
      <c r="E581" s="715"/>
      <c r="F581" s="715"/>
      <c r="G581" s="715"/>
      <c r="H581" s="715"/>
      <c r="I581" s="715"/>
      <c r="J581" s="715"/>
      <c r="K581" s="715"/>
      <c r="L581" s="715"/>
      <c r="M581" s="715"/>
      <c r="N581" s="715"/>
      <c r="O581" s="715"/>
      <c r="P581" s="715"/>
    </row>
    <row r="582" spans="1:16" x14ac:dyDescent="0.25">
      <c r="A582" s="709"/>
      <c r="B582" s="715"/>
      <c r="C582" s="698"/>
      <c r="D582" s="715"/>
      <c r="E582" s="715"/>
      <c r="F582" s="715"/>
      <c r="G582" s="715"/>
      <c r="H582" s="715"/>
      <c r="I582" s="715"/>
      <c r="J582" s="715"/>
      <c r="K582" s="715"/>
      <c r="L582" s="715"/>
      <c r="M582" s="715"/>
      <c r="N582" s="715"/>
      <c r="O582" s="715"/>
      <c r="P582" s="715"/>
    </row>
    <row r="583" spans="1:16" x14ac:dyDescent="0.25">
      <c r="A583" s="709"/>
      <c r="B583" s="715"/>
      <c r="C583" s="698"/>
      <c r="D583" s="715"/>
      <c r="E583" s="715"/>
      <c r="F583" s="715"/>
      <c r="G583" s="715"/>
      <c r="H583" s="715"/>
      <c r="I583" s="715"/>
      <c r="J583" s="715"/>
      <c r="K583" s="715"/>
      <c r="L583" s="715"/>
      <c r="M583" s="715"/>
      <c r="N583" s="715"/>
      <c r="O583" s="715"/>
      <c r="P583" s="715"/>
    </row>
    <row r="584" spans="1:16" x14ac:dyDescent="0.25">
      <c r="A584" s="709"/>
      <c r="B584" s="715"/>
      <c r="C584" s="698"/>
      <c r="D584" s="715"/>
      <c r="E584" s="715"/>
      <c r="F584" s="715"/>
      <c r="G584" s="715"/>
      <c r="H584" s="715"/>
      <c r="I584" s="715"/>
      <c r="J584" s="715"/>
      <c r="K584" s="715"/>
      <c r="L584" s="715"/>
      <c r="M584" s="715"/>
      <c r="N584" s="715"/>
      <c r="O584" s="715"/>
      <c r="P584" s="715"/>
    </row>
    <row r="585" spans="1:16" x14ac:dyDescent="0.25">
      <c r="A585" s="709"/>
      <c r="B585" s="715"/>
      <c r="C585" s="698"/>
      <c r="D585" s="715"/>
      <c r="E585" s="715"/>
      <c r="F585" s="715"/>
      <c r="G585" s="715"/>
      <c r="H585" s="715"/>
      <c r="I585" s="715"/>
      <c r="J585" s="715"/>
      <c r="K585" s="715"/>
      <c r="L585" s="715"/>
      <c r="M585" s="715"/>
      <c r="N585" s="715"/>
      <c r="O585" s="715"/>
      <c r="P585" s="715"/>
    </row>
    <row r="586" spans="1:16" x14ac:dyDescent="0.25">
      <c r="A586" s="709"/>
      <c r="B586" s="715"/>
      <c r="C586" s="698"/>
      <c r="D586" s="715"/>
      <c r="E586" s="715"/>
      <c r="F586" s="715"/>
      <c r="G586" s="715"/>
      <c r="H586" s="715"/>
      <c r="I586" s="715"/>
      <c r="J586" s="715"/>
      <c r="K586" s="715"/>
      <c r="L586" s="715"/>
      <c r="M586" s="715"/>
      <c r="N586" s="715"/>
      <c r="O586" s="715"/>
      <c r="P586" s="715"/>
    </row>
    <row r="587" spans="1:16" ht="15.75" thickBot="1" x14ac:dyDescent="0.3">
      <c r="A587" s="272"/>
      <c r="B587" s="273"/>
      <c r="C587" s="276"/>
      <c r="D587" s="716" t="s">
        <v>991</v>
      </c>
      <c r="E587" s="272"/>
      <c r="F587" s="272"/>
      <c r="G587" s="272"/>
      <c r="H587" s="276"/>
      <c r="I587" s="273"/>
      <c r="J587" s="272"/>
      <c r="K587" s="276"/>
      <c r="L587" s="276"/>
      <c r="M587" s="276"/>
      <c r="N587" s="276"/>
      <c r="O587" s="276"/>
      <c r="P587" s="272"/>
    </row>
    <row r="588" spans="1:16" x14ac:dyDescent="0.25">
      <c r="A588" s="759"/>
      <c r="B588" s="278" t="s">
        <v>248</v>
      </c>
      <c r="C588" s="278"/>
      <c r="D588" s="278"/>
      <c r="E588" s="278" t="s">
        <v>249</v>
      </c>
      <c r="F588" s="278"/>
      <c r="G588" s="278"/>
      <c r="H588" s="278"/>
      <c r="I588" s="278"/>
      <c r="J588" s="278"/>
      <c r="K588" s="278"/>
      <c r="L588" s="788" t="s">
        <v>250</v>
      </c>
      <c r="M588" s="280" t="s">
        <v>251</v>
      </c>
      <c r="N588" s="281" t="s">
        <v>11</v>
      </c>
      <c r="O588" s="281"/>
      <c r="P588" s="280" t="s">
        <v>12</v>
      </c>
    </row>
    <row r="589" spans="1:16" ht="24.75" thickBot="1" x14ac:dyDescent="0.3">
      <c r="A589" s="720" t="s">
        <v>252</v>
      </c>
      <c r="B589" s="721" t="s">
        <v>253</v>
      </c>
      <c r="C589" s="268" t="s">
        <v>254</v>
      </c>
      <c r="D589" s="268" t="s">
        <v>16</v>
      </c>
      <c r="E589" s="268" t="s">
        <v>255</v>
      </c>
      <c r="F589" s="268" t="s">
        <v>18</v>
      </c>
      <c r="G589" s="268" t="s">
        <v>19</v>
      </c>
      <c r="H589" s="268" t="s">
        <v>20</v>
      </c>
      <c r="I589" s="722" t="s">
        <v>21</v>
      </c>
      <c r="J589" s="268" t="s">
        <v>22</v>
      </c>
      <c r="K589" s="268" t="s">
        <v>23</v>
      </c>
      <c r="L589" s="789"/>
      <c r="M589" s="723"/>
      <c r="N589" s="724" t="s">
        <v>24</v>
      </c>
      <c r="O589" s="724" t="s">
        <v>25</v>
      </c>
      <c r="P589" s="723"/>
    </row>
    <row r="590" spans="1:16" ht="15.75" thickBot="1" x14ac:dyDescent="0.3">
      <c r="A590" s="725" t="s">
        <v>406</v>
      </c>
      <c r="B590" s="726"/>
      <c r="C590" s="726"/>
      <c r="D590" s="760"/>
      <c r="E590" s="726"/>
      <c r="F590" s="726"/>
      <c r="G590" s="726"/>
      <c r="H590" s="726"/>
      <c r="I590" s="726"/>
      <c r="J590" s="726"/>
      <c r="K590" s="726"/>
      <c r="L590" s="726"/>
      <c r="M590" s="726"/>
      <c r="N590" s="726"/>
      <c r="O590" s="726"/>
      <c r="P590" s="726"/>
    </row>
    <row r="591" spans="1:16" ht="16.5" thickTop="1" thickBot="1" x14ac:dyDescent="0.3">
      <c r="A591" s="761" t="s">
        <v>992</v>
      </c>
      <c r="B591" s="790" t="s">
        <v>993</v>
      </c>
      <c r="C591" s="791" t="s">
        <v>994</v>
      </c>
      <c r="D591" s="792" t="s">
        <v>750</v>
      </c>
      <c r="E591" s="764">
        <v>5</v>
      </c>
      <c r="F591" s="730">
        <v>7</v>
      </c>
      <c r="G591" s="730">
        <v>0</v>
      </c>
      <c r="H591" s="730">
        <v>0</v>
      </c>
      <c r="I591" s="730">
        <f>SUM(E591:H591)</f>
        <v>12</v>
      </c>
      <c r="J591" s="730">
        <v>13</v>
      </c>
      <c r="K591" s="730">
        <f>SUM(I591:J591)</f>
        <v>25</v>
      </c>
      <c r="L591" s="730">
        <v>1</v>
      </c>
      <c r="M591" s="731">
        <v>4</v>
      </c>
      <c r="N591" s="732">
        <v>0.4</v>
      </c>
      <c r="O591" s="732">
        <v>0.6</v>
      </c>
      <c r="P591" s="765" t="s">
        <v>930</v>
      </c>
    </row>
    <row r="592" spans="1:16" ht="15.75" thickBot="1" x14ac:dyDescent="0.3">
      <c r="A592" s="761"/>
      <c r="B592" s="793"/>
      <c r="C592" s="791" t="s">
        <v>995</v>
      </c>
      <c r="D592" s="792" t="s">
        <v>996</v>
      </c>
      <c r="E592" s="764">
        <v>10</v>
      </c>
      <c r="F592" s="730">
        <v>14</v>
      </c>
      <c r="G592" s="730">
        <v>0</v>
      </c>
      <c r="H592" s="730">
        <v>0</v>
      </c>
      <c r="I592" s="730">
        <f t="shared" ref="I592:I606" si="20">SUM(E592:H592)</f>
        <v>24</v>
      </c>
      <c r="J592" s="730">
        <v>26</v>
      </c>
      <c r="K592" s="730">
        <f t="shared" ref="K592:K607" si="21">SUM(I592:J592)</f>
        <v>50</v>
      </c>
      <c r="L592" s="730">
        <v>2</v>
      </c>
      <c r="M592" s="731"/>
      <c r="N592" s="732">
        <v>0.4</v>
      </c>
      <c r="O592" s="732">
        <v>0.6</v>
      </c>
      <c r="P592" s="765"/>
    </row>
    <row r="593" spans="1:16" ht="22.5" x14ac:dyDescent="0.25">
      <c r="A593" s="767"/>
      <c r="B593" s="794"/>
      <c r="C593" s="791" t="s">
        <v>997</v>
      </c>
      <c r="D593" s="792" t="s">
        <v>998</v>
      </c>
      <c r="E593" s="768">
        <v>5</v>
      </c>
      <c r="F593" s="742">
        <v>7</v>
      </c>
      <c r="G593" s="742">
        <v>0</v>
      </c>
      <c r="H593" s="742">
        <v>0</v>
      </c>
      <c r="I593" s="730">
        <f t="shared" si="20"/>
        <v>12</v>
      </c>
      <c r="J593" s="742">
        <v>13</v>
      </c>
      <c r="K593" s="730">
        <f t="shared" si="21"/>
        <v>25</v>
      </c>
      <c r="L593" s="742">
        <v>1</v>
      </c>
      <c r="M593" s="731"/>
      <c r="N593" s="732">
        <v>0.4</v>
      </c>
      <c r="O593" s="732">
        <v>0.6</v>
      </c>
      <c r="P593" s="769"/>
    </row>
    <row r="594" spans="1:16" ht="22.5" x14ac:dyDescent="0.25">
      <c r="A594" s="795" t="s">
        <v>999</v>
      </c>
      <c r="B594" s="796" t="s">
        <v>1000</v>
      </c>
      <c r="C594" s="777" t="s">
        <v>1001</v>
      </c>
      <c r="D594" s="792" t="s">
        <v>1002</v>
      </c>
      <c r="E594" s="772">
        <v>10</v>
      </c>
      <c r="F594" s="252">
        <v>0</v>
      </c>
      <c r="G594" s="252">
        <v>14</v>
      </c>
      <c r="H594" s="252">
        <v>0</v>
      </c>
      <c r="I594" s="730">
        <f t="shared" si="20"/>
        <v>24</v>
      </c>
      <c r="J594" s="252">
        <v>26</v>
      </c>
      <c r="K594" s="730">
        <f t="shared" si="21"/>
        <v>50</v>
      </c>
      <c r="L594" s="252">
        <v>2</v>
      </c>
      <c r="M594" s="254">
        <v>6</v>
      </c>
      <c r="N594" s="732">
        <v>0.4</v>
      </c>
      <c r="O594" s="732">
        <v>0.6</v>
      </c>
      <c r="P594" s="795" t="s">
        <v>930</v>
      </c>
    </row>
    <row r="595" spans="1:16" x14ac:dyDescent="0.25">
      <c r="A595" s="795"/>
      <c r="B595" s="797"/>
      <c r="C595" s="777" t="s">
        <v>1003</v>
      </c>
      <c r="D595" s="792" t="s">
        <v>1004</v>
      </c>
      <c r="E595" s="772">
        <v>10</v>
      </c>
      <c r="F595" s="252">
        <v>14</v>
      </c>
      <c r="G595" s="252">
        <v>0</v>
      </c>
      <c r="H595" s="252">
        <v>0</v>
      </c>
      <c r="I595" s="730">
        <f t="shared" si="20"/>
        <v>24</v>
      </c>
      <c r="J595" s="252">
        <v>26</v>
      </c>
      <c r="K595" s="730">
        <f t="shared" si="21"/>
        <v>50</v>
      </c>
      <c r="L595" s="252">
        <v>2</v>
      </c>
      <c r="M595" s="254"/>
      <c r="N595" s="732">
        <v>0.4</v>
      </c>
      <c r="O595" s="732">
        <v>0.6</v>
      </c>
      <c r="P595" s="795"/>
    </row>
    <row r="596" spans="1:16" x14ac:dyDescent="0.25">
      <c r="A596" s="795"/>
      <c r="B596" s="798"/>
      <c r="C596" s="777" t="s">
        <v>1005</v>
      </c>
      <c r="D596" s="799" t="s">
        <v>1006</v>
      </c>
      <c r="E596" s="772">
        <v>10</v>
      </c>
      <c r="F596" s="252">
        <v>0</v>
      </c>
      <c r="G596" s="252">
        <v>14</v>
      </c>
      <c r="H596" s="252">
        <v>0</v>
      </c>
      <c r="I596" s="730">
        <f t="shared" si="20"/>
        <v>24</v>
      </c>
      <c r="J596" s="252">
        <v>26</v>
      </c>
      <c r="K596" s="730">
        <f t="shared" si="21"/>
        <v>50</v>
      </c>
      <c r="L596" s="252">
        <v>2</v>
      </c>
      <c r="M596" s="254"/>
      <c r="N596" s="732">
        <v>0.4</v>
      </c>
      <c r="O596" s="732">
        <v>0.6</v>
      </c>
      <c r="P596" s="795"/>
    </row>
    <row r="597" spans="1:16" ht="22.5" x14ac:dyDescent="0.25">
      <c r="A597" s="769" t="s">
        <v>1007</v>
      </c>
      <c r="B597" s="796" t="s">
        <v>1008</v>
      </c>
      <c r="C597" s="771" t="s">
        <v>1009</v>
      </c>
      <c r="D597" s="792" t="s">
        <v>1010</v>
      </c>
      <c r="E597" s="764">
        <v>20</v>
      </c>
      <c r="F597" s="730">
        <v>0</v>
      </c>
      <c r="G597" s="730">
        <v>28</v>
      </c>
      <c r="H597" s="730">
        <v>0</v>
      </c>
      <c r="I597" s="730">
        <f t="shared" si="20"/>
        <v>48</v>
      </c>
      <c r="J597" s="730">
        <v>52</v>
      </c>
      <c r="K597" s="730">
        <f t="shared" si="21"/>
        <v>100</v>
      </c>
      <c r="L597" s="730">
        <v>4</v>
      </c>
      <c r="M597" s="752">
        <v>6</v>
      </c>
      <c r="N597" s="732">
        <v>0.4</v>
      </c>
      <c r="O597" s="732">
        <v>0.6</v>
      </c>
      <c r="P597" s="769" t="s">
        <v>937</v>
      </c>
    </row>
    <row r="598" spans="1:16" x14ac:dyDescent="0.25">
      <c r="A598" s="765"/>
      <c r="B598" s="797"/>
      <c r="C598" s="771" t="s">
        <v>1011</v>
      </c>
      <c r="D598" s="792" t="s">
        <v>1012</v>
      </c>
      <c r="E598" s="252">
        <v>10</v>
      </c>
      <c r="F598" s="252">
        <v>14</v>
      </c>
      <c r="G598" s="252">
        <v>0</v>
      </c>
      <c r="H598" s="252">
        <v>0</v>
      </c>
      <c r="I598" s="730">
        <f t="shared" si="20"/>
        <v>24</v>
      </c>
      <c r="J598" s="252">
        <v>26</v>
      </c>
      <c r="K598" s="730">
        <f t="shared" si="21"/>
        <v>50</v>
      </c>
      <c r="L598" s="252">
        <v>2</v>
      </c>
      <c r="M598" s="774"/>
      <c r="N598" s="732">
        <v>0.4</v>
      </c>
      <c r="O598" s="732">
        <v>0.6</v>
      </c>
      <c r="P598" s="765"/>
    </row>
    <row r="599" spans="1:16" x14ac:dyDescent="0.25">
      <c r="A599" s="769" t="s">
        <v>1013</v>
      </c>
      <c r="B599" s="800" t="s">
        <v>1014</v>
      </c>
      <c r="C599" s="771" t="s">
        <v>1015</v>
      </c>
      <c r="D599" s="792" t="s">
        <v>1016</v>
      </c>
      <c r="E599" s="252">
        <v>10</v>
      </c>
      <c r="F599" s="252">
        <v>0</v>
      </c>
      <c r="G599" s="252">
        <v>14</v>
      </c>
      <c r="H599" s="252">
        <v>0</v>
      </c>
      <c r="I599" s="730">
        <f t="shared" si="20"/>
        <v>24</v>
      </c>
      <c r="J599" s="252">
        <v>26</v>
      </c>
      <c r="K599" s="730">
        <f t="shared" si="21"/>
        <v>50</v>
      </c>
      <c r="L599" s="252">
        <v>2</v>
      </c>
      <c r="M599" s="752">
        <v>6</v>
      </c>
      <c r="N599" s="732">
        <v>0.4</v>
      </c>
      <c r="O599" s="732">
        <v>0.6</v>
      </c>
      <c r="P599" s="769" t="s">
        <v>1017</v>
      </c>
    </row>
    <row r="600" spans="1:16" x14ac:dyDescent="0.25">
      <c r="A600" s="765"/>
      <c r="B600" s="800"/>
      <c r="C600" s="771" t="s">
        <v>1018</v>
      </c>
      <c r="D600" s="792" t="s">
        <v>1019</v>
      </c>
      <c r="E600" s="252">
        <v>20</v>
      </c>
      <c r="F600" s="252">
        <v>0</v>
      </c>
      <c r="G600" s="252">
        <v>28</v>
      </c>
      <c r="H600" s="252">
        <v>0</v>
      </c>
      <c r="I600" s="730">
        <f t="shared" si="20"/>
        <v>48</v>
      </c>
      <c r="J600" s="252">
        <v>52</v>
      </c>
      <c r="K600" s="730">
        <f t="shared" si="21"/>
        <v>100</v>
      </c>
      <c r="L600" s="252">
        <v>4</v>
      </c>
      <c r="M600" s="774"/>
      <c r="N600" s="732">
        <v>0.4</v>
      </c>
      <c r="O600" s="732">
        <v>0.6</v>
      </c>
      <c r="P600" s="765"/>
    </row>
    <row r="601" spans="1:16" ht="24" x14ac:dyDescent="0.25">
      <c r="A601" s="801" t="s">
        <v>1020</v>
      </c>
      <c r="B601" s="799" t="s">
        <v>1021</v>
      </c>
      <c r="C601" s="742" t="s">
        <v>1020</v>
      </c>
      <c r="D601" s="799" t="s">
        <v>1021</v>
      </c>
      <c r="E601" s="768">
        <v>0</v>
      </c>
      <c r="F601" s="742">
        <v>10</v>
      </c>
      <c r="G601" s="742">
        <v>14</v>
      </c>
      <c r="H601" s="742">
        <v>0</v>
      </c>
      <c r="I601" s="730">
        <f t="shared" si="20"/>
        <v>24</v>
      </c>
      <c r="J601" s="742">
        <v>26</v>
      </c>
      <c r="K601" s="730">
        <f t="shared" si="21"/>
        <v>50</v>
      </c>
      <c r="L601" s="742">
        <v>2</v>
      </c>
      <c r="M601" s="740">
        <v>2</v>
      </c>
      <c r="N601" s="732">
        <v>0.4</v>
      </c>
      <c r="O601" s="732">
        <v>0.6</v>
      </c>
      <c r="P601" s="801" t="s">
        <v>990</v>
      </c>
    </row>
    <row r="602" spans="1:16" x14ac:dyDescent="0.25">
      <c r="A602" s="743" t="s">
        <v>62</v>
      </c>
      <c r="B602" s="743"/>
      <c r="C602" s="743"/>
      <c r="D602" s="745"/>
      <c r="E602" s="743"/>
      <c r="F602" s="743"/>
      <c r="G602" s="743"/>
      <c r="H602" s="743"/>
      <c r="I602" s="743"/>
      <c r="J602" s="743"/>
      <c r="K602" s="743"/>
      <c r="L602" s="743"/>
      <c r="M602" s="743"/>
      <c r="N602" s="743"/>
      <c r="O602" s="743"/>
      <c r="P602" s="743"/>
    </row>
    <row r="603" spans="1:16" ht="22.5" x14ac:dyDescent="0.25">
      <c r="A603" s="765" t="s">
        <v>1022</v>
      </c>
      <c r="B603" s="798" t="s">
        <v>1023</v>
      </c>
      <c r="C603" s="777" t="s">
        <v>1024</v>
      </c>
      <c r="D603" s="792" t="s">
        <v>1025</v>
      </c>
      <c r="E603" s="764">
        <v>20</v>
      </c>
      <c r="F603" s="730">
        <v>16</v>
      </c>
      <c r="G603" s="730">
        <v>0</v>
      </c>
      <c r="H603" s="730">
        <v>0</v>
      </c>
      <c r="I603" s="730">
        <f t="shared" si="20"/>
        <v>36</v>
      </c>
      <c r="J603" s="730">
        <v>39</v>
      </c>
      <c r="K603" s="730">
        <f t="shared" si="21"/>
        <v>75</v>
      </c>
      <c r="L603" s="730">
        <v>3</v>
      </c>
      <c r="M603" s="731">
        <v>4</v>
      </c>
      <c r="N603" s="732">
        <v>0.4</v>
      </c>
      <c r="O603" s="732">
        <v>0.6</v>
      </c>
      <c r="P603" s="765" t="s">
        <v>1026</v>
      </c>
    </row>
    <row r="604" spans="1:16" ht="22.5" x14ac:dyDescent="0.25">
      <c r="A604" s="769"/>
      <c r="B604" s="796"/>
      <c r="C604" s="777" t="s">
        <v>1027</v>
      </c>
      <c r="D604" s="792" t="s">
        <v>1028</v>
      </c>
      <c r="E604" s="768">
        <v>12</v>
      </c>
      <c r="F604" s="742">
        <v>0</v>
      </c>
      <c r="G604" s="742">
        <v>0</v>
      </c>
      <c r="H604" s="742">
        <v>0</v>
      </c>
      <c r="I604" s="730">
        <f t="shared" si="20"/>
        <v>12</v>
      </c>
      <c r="J604" s="742">
        <v>13</v>
      </c>
      <c r="K604" s="730">
        <f t="shared" si="21"/>
        <v>25</v>
      </c>
      <c r="L604" s="742">
        <v>1</v>
      </c>
      <c r="M604" s="731"/>
      <c r="N604" s="732">
        <v>0.4</v>
      </c>
      <c r="O604" s="732">
        <v>0.6</v>
      </c>
      <c r="P604" s="769"/>
    </row>
    <row r="605" spans="1:16" x14ac:dyDescent="0.25">
      <c r="A605" s="743" t="s">
        <v>67</v>
      </c>
      <c r="B605" s="745"/>
      <c r="C605" s="743"/>
      <c r="D605" s="802"/>
      <c r="E605" s="743"/>
      <c r="F605" s="743"/>
      <c r="G605" s="743"/>
      <c r="H605" s="743"/>
      <c r="I605" s="743"/>
      <c r="J605" s="743"/>
      <c r="K605" s="743"/>
      <c r="L605" s="743"/>
      <c r="M605" s="743"/>
      <c r="N605" s="743"/>
      <c r="O605" s="743"/>
      <c r="P605" s="743"/>
    </row>
    <row r="606" spans="1:16" ht="23.25" thickBot="1" x14ac:dyDescent="0.3">
      <c r="A606" s="803" t="s">
        <v>1029</v>
      </c>
      <c r="B606" s="792" t="s">
        <v>1030</v>
      </c>
      <c r="C606" s="804" t="s">
        <v>1029</v>
      </c>
      <c r="D606" s="792" t="s">
        <v>1030</v>
      </c>
      <c r="E606" s="805">
        <v>10</v>
      </c>
      <c r="F606" s="755">
        <v>14</v>
      </c>
      <c r="G606" s="755">
        <v>0</v>
      </c>
      <c r="H606" s="755">
        <v>0</v>
      </c>
      <c r="I606" s="730">
        <f t="shared" si="20"/>
        <v>24</v>
      </c>
      <c r="J606" s="755">
        <v>26</v>
      </c>
      <c r="K606" s="730">
        <f t="shared" si="21"/>
        <v>50</v>
      </c>
      <c r="L606" s="755">
        <v>2</v>
      </c>
      <c r="M606" s="755">
        <v>2</v>
      </c>
      <c r="N606" s="732">
        <v>0.4</v>
      </c>
      <c r="O606" s="732">
        <v>0.6</v>
      </c>
      <c r="P606" s="806" t="s">
        <v>1031</v>
      </c>
    </row>
    <row r="607" spans="1:16" ht="15.75" thickBot="1" x14ac:dyDescent="0.3">
      <c r="A607" s="756" t="s">
        <v>773</v>
      </c>
      <c r="B607" s="786"/>
      <c r="C607" s="756"/>
      <c r="D607" s="787"/>
      <c r="E607" s="758">
        <f>SUM(E606,E604,E603,E601,E600,E599,E598,E597,E596,E595,E594,E593,E592,E591)</f>
        <v>152</v>
      </c>
      <c r="F607" s="758">
        <f>SUM(F606,F604,F603,F601,F600,F599,F598,F597,F596,F595,F594,F593,F592,F591)</f>
        <v>96</v>
      </c>
      <c r="G607" s="758">
        <f>SUM(G606,G604,G603,G601,G600,G599,G598,G597,G596,G595,G594,G593,G592,G591)</f>
        <v>112</v>
      </c>
      <c r="H607" s="758">
        <v>0</v>
      </c>
      <c r="I607" s="758">
        <f>SUM(H607,I606,I604,I603,I601,I600,I599,I598,I597,I596,I595,I594,I593,I592,I591)</f>
        <v>360</v>
      </c>
      <c r="J607" s="758">
        <f>SUM(J606,J604,J603,J601,J600,J599,J598,J597,J596,J595,J594,J593,J592,J591)</f>
        <v>390</v>
      </c>
      <c r="K607" s="730">
        <f t="shared" si="21"/>
        <v>750</v>
      </c>
      <c r="L607" s="758">
        <f>SUM(L606,L604,L603,L601,L600,L599,L598,L597,L596,L595,L594,L593,L592,L591)</f>
        <v>30</v>
      </c>
      <c r="M607" s="758">
        <f>SUM(M606,M603,M601,M599,M597,M594,M591)</f>
        <v>30</v>
      </c>
      <c r="N607" s="758"/>
      <c r="O607" s="758"/>
      <c r="P607" s="758"/>
    </row>
    <row r="608" spans="1:16" x14ac:dyDescent="0.25">
      <c r="A608" s="709"/>
      <c r="B608" s="715"/>
      <c r="C608" s="698"/>
      <c r="D608" s="715"/>
      <c r="E608" s="715"/>
      <c r="F608" s="715"/>
      <c r="G608" s="715"/>
      <c r="H608" s="715"/>
      <c r="I608" s="715"/>
      <c r="J608" s="715"/>
      <c r="K608" s="715"/>
      <c r="L608" s="715"/>
      <c r="M608" s="715"/>
      <c r="N608" s="715"/>
      <c r="O608" s="715"/>
      <c r="P608" s="715"/>
    </row>
    <row r="609" spans="1:16" x14ac:dyDescent="0.25">
      <c r="A609" s="709"/>
      <c r="B609" s="715"/>
      <c r="C609" s="698"/>
      <c r="D609" s="715"/>
      <c r="E609" s="715"/>
      <c r="F609" s="715"/>
      <c r="G609" s="715"/>
      <c r="H609" s="715"/>
      <c r="I609" s="715"/>
      <c r="J609" s="715"/>
      <c r="K609" s="715"/>
      <c r="L609" s="715"/>
      <c r="M609" s="715"/>
      <c r="N609" s="715"/>
      <c r="O609" s="715"/>
      <c r="P609" s="715"/>
    </row>
    <row r="610" spans="1:16" x14ac:dyDescent="0.25">
      <c r="A610" s="709"/>
      <c r="B610" s="715"/>
      <c r="C610" s="698"/>
      <c r="D610" s="715"/>
      <c r="E610" s="715"/>
      <c r="F610" s="715"/>
      <c r="G610" s="715"/>
      <c r="H610" s="715"/>
      <c r="I610" s="715"/>
      <c r="J610" s="715"/>
      <c r="K610" s="715"/>
      <c r="L610" s="715"/>
      <c r="M610" s="715"/>
      <c r="N610" s="715"/>
      <c r="O610" s="715"/>
      <c r="P610" s="715"/>
    </row>
    <row r="611" spans="1:16" x14ac:dyDescent="0.25">
      <c r="A611" s="709"/>
      <c r="B611" s="715"/>
      <c r="C611" s="698"/>
      <c r="D611" s="715"/>
      <c r="E611" s="715"/>
      <c r="F611" s="715"/>
      <c r="G611" s="715"/>
      <c r="H611" s="715"/>
      <c r="I611" s="715"/>
      <c r="J611" s="715"/>
      <c r="K611" s="715"/>
      <c r="L611" s="715"/>
      <c r="M611" s="715"/>
      <c r="N611" s="715"/>
      <c r="O611" s="715"/>
      <c r="P611" s="715"/>
    </row>
    <row r="612" spans="1:16" x14ac:dyDescent="0.25">
      <c r="A612" s="709"/>
      <c r="B612" s="715"/>
      <c r="C612" s="698"/>
      <c r="D612" s="715"/>
      <c r="E612" s="715"/>
      <c r="F612" s="715"/>
      <c r="G612" s="715"/>
      <c r="H612" s="715"/>
      <c r="I612" s="715"/>
      <c r="J612" s="715"/>
      <c r="K612" s="715"/>
      <c r="L612" s="715"/>
      <c r="M612" s="715"/>
      <c r="N612" s="715"/>
      <c r="O612" s="715"/>
      <c r="P612" s="715"/>
    </row>
    <row r="613" spans="1:16" x14ac:dyDescent="0.25">
      <c r="A613" s="709"/>
      <c r="B613" s="715"/>
      <c r="C613" s="698"/>
      <c r="D613" s="715"/>
      <c r="E613" s="715"/>
      <c r="F613" s="715"/>
      <c r="G613" s="715"/>
      <c r="H613" s="715"/>
      <c r="I613" s="715"/>
      <c r="J613" s="715"/>
      <c r="K613" s="715"/>
      <c r="L613" s="715"/>
      <c r="M613" s="715"/>
      <c r="N613" s="715"/>
      <c r="O613" s="715"/>
      <c r="P613" s="715"/>
    </row>
    <row r="614" spans="1:16" x14ac:dyDescent="0.25">
      <c r="A614" s="709"/>
      <c r="B614" s="715"/>
      <c r="C614" s="698"/>
      <c r="D614" s="715"/>
      <c r="E614" s="715"/>
      <c r="F614" s="715"/>
      <c r="G614" s="715"/>
      <c r="H614" s="715"/>
      <c r="I614" s="715"/>
      <c r="J614" s="715"/>
      <c r="K614" s="715"/>
      <c r="L614" s="715"/>
      <c r="M614" s="715"/>
      <c r="N614" s="715"/>
      <c r="O614" s="715"/>
      <c r="P614" s="715"/>
    </row>
    <row r="615" spans="1:16" x14ac:dyDescent="0.25">
      <c r="A615" s="709"/>
      <c r="B615" s="715"/>
      <c r="C615" s="698"/>
      <c r="D615" s="715"/>
      <c r="E615" s="715"/>
      <c r="F615" s="715"/>
      <c r="G615" s="715"/>
      <c r="H615" s="715"/>
      <c r="I615" s="715"/>
      <c r="J615" s="715"/>
      <c r="K615" s="715"/>
      <c r="L615" s="715"/>
      <c r="M615" s="715"/>
      <c r="N615" s="715"/>
      <c r="O615" s="715"/>
      <c r="P615" s="715"/>
    </row>
    <row r="616" spans="1:16" ht="15.75" thickBot="1" x14ac:dyDescent="0.3">
      <c r="A616" s="272"/>
      <c r="B616" s="273"/>
      <c r="C616" s="274"/>
      <c r="D616" s="716" t="s">
        <v>1032</v>
      </c>
      <c r="E616" s="272"/>
      <c r="F616" s="272"/>
      <c r="G616" s="272"/>
      <c r="H616" s="276"/>
      <c r="I616" s="273"/>
      <c r="J616" s="272"/>
      <c r="K616" s="276"/>
      <c r="L616" s="276"/>
      <c r="M616" s="276"/>
      <c r="N616" s="276"/>
      <c r="O616" s="276"/>
      <c r="P616" s="272"/>
    </row>
    <row r="617" spans="1:16" x14ac:dyDescent="0.25">
      <c r="A617" s="759"/>
      <c r="B617" s="278" t="s">
        <v>248</v>
      </c>
      <c r="C617" s="278"/>
      <c r="D617" s="278"/>
      <c r="E617" s="278" t="s">
        <v>249</v>
      </c>
      <c r="F617" s="278"/>
      <c r="G617" s="278"/>
      <c r="H617" s="278"/>
      <c r="I617" s="278"/>
      <c r="J617" s="278"/>
      <c r="K617" s="278"/>
      <c r="L617" s="279" t="s">
        <v>250</v>
      </c>
      <c r="M617" s="280" t="s">
        <v>251</v>
      </c>
      <c r="N617" s="281" t="s">
        <v>11</v>
      </c>
      <c r="O617" s="281"/>
      <c r="P617" s="280" t="s">
        <v>12</v>
      </c>
    </row>
    <row r="618" spans="1:16" ht="24.75" thickBot="1" x14ac:dyDescent="0.3">
      <c r="A618" s="720" t="s">
        <v>252</v>
      </c>
      <c r="B618" s="721" t="s">
        <v>253</v>
      </c>
      <c r="C618" s="807" t="s">
        <v>254</v>
      </c>
      <c r="D618" s="268" t="s">
        <v>16</v>
      </c>
      <c r="E618" s="268" t="s">
        <v>255</v>
      </c>
      <c r="F618" s="268" t="s">
        <v>18</v>
      </c>
      <c r="G618" s="268" t="s">
        <v>19</v>
      </c>
      <c r="H618" s="268" t="s">
        <v>20</v>
      </c>
      <c r="I618" s="722" t="s">
        <v>21</v>
      </c>
      <c r="J618" s="268" t="s">
        <v>22</v>
      </c>
      <c r="K618" s="268" t="s">
        <v>23</v>
      </c>
      <c r="L618" s="808"/>
      <c r="M618" s="723"/>
      <c r="N618" s="724" t="s">
        <v>24</v>
      </c>
      <c r="O618" s="724" t="s">
        <v>25</v>
      </c>
      <c r="P618" s="723"/>
    </row>
    <row r="619" spans="1:16" ht="15.75" thickBot="1" x14ac:dyDescent="0.3">
      <c r="A619" s="725" t="s">
        <v>26</v>
      </c>
      <c r="B619" s="726"/>
      <c r="C619" s="726"/>
      <c r="D619" s="726"/>
      <c r="E619" s="726"/>
      <c r="F619" s="726"/>
      <c r="G619" s="726"/>
      <c r="H619" s="726"/>
      <c r="I619" s="726"/>
      <c r="J619" s="726"/>
      <c r="K619" s="726"/>
      <c r="L619" s="726"/>
      <c r="M619" s="726"/>
      <c r="N619" s="726"/>
      <c r="O619" s="726"/>
      <c r="P619" s="726"/>
    </row>
    <row r="620" spans="1:16" ht="15.75" thickBot="1" x14ac:dyDescent="0.3">
      <c r="A620" s="725" t="s">
        <v>406</v>
      </c>
      <c r="B620" s="726"/>
      <c r="C620" s="726"/>
      <c r="D620" s="726"/>
      <c r="E620" s="726"/>
      <c r="F620" s="726"/>
      <c r="G620" s="726"/>
      <c r="H620" s="726"/>
      <c r="I620" s="726"/>
      <c r="J620" s="726"/>
      <c r="K620" s="726"/>
      <c r="L620" s="726"/>
      <c r="M620" s="726"/>
      <c r="N620" s="726"/>
      <c r="O620" s="726"/>
      <c r="P620" s="726"/>
    </row>
    <row r="621" spans="1:16" ht="24.75" thickBot="1" x14ac:dyDescent="0.3">
      <c r="A621" s="809" t="s">
        <v>1033</v>
      </c>
      <c r="B621" s="810" t="s">
        <v>379</v>
      </c>
      <c r="C621" s="811" t="s">
        <v>1033</v>
      </c>
      <c r="D621" s="810" t="s">
        <v>379</v>
      </c>
      <c r="E621" s="812">
        <v>0</v>
      </c>
      <c r="F621" s="812">
        <v>0</v>
      </c>
      <c r="G621" s="812">
        <v>0</v>
      </c>
      <c r="H621" s="812">
        <v>360</v>
      </c>
      <c r="I621" s="812">
        <v>360</v>
      </c>
      <c r="J621" s="812">
        <v>390</v>
      </c>
      <c r="K621" s="813">
        <v>750</v>
      </c>
      <c r="L621" s="813">
        <v>30</v>
      </c>
      <c r="M621" s="812">
        <v>30</v>
      </c>
      <c r="N621" s="814">
        <v>0.4</v>
      </c>
      <c r="O621" s="814">
        <v>0.6</v>
      </c>
      <c r="P621" s="812" t="s">
        <v>937</v>
      </c>
    </row>
    <row r="622" spans="1:16" ht="15.75" thickBot="1" x14ac:dyDescent="0.3">
      <c r="A622" s="756" t="s">
        <v>917</v>
      </c>
      <c r="B622" s="756"/>
      <c r="C622" s="756"/>
      <c r="D622" s="757"/>
      <c r="E622" s="758">
        <v>0</v>
      </c>
      <c r="F622" s="758">
        <v>0</v>
      </c>
      <c r="G622" s="758">
        <v>0</v>
      </c>
      <c r="H622" s="758">
        <v>360</v>
      </c>
      <c r="I622" s="758">
        <v>360</v>
      </c>
      <c r="J622" s="758">
        <v>390</v>
      </c>
      <c r="K622" s="758">
        <v>750</v>
      </c>
      <c r="L622" s="758">
        <v>30</v>
      </c>
      <c r="M622" s="758">
        <v>30</v>
      </c>
      <c r="N622" s="758"/>
      <c r="O622" s="758"/>
      <c r="P622" s="758"/>
    </row>
    <row r="648" spans="1:16" x14ac:dyDescent="0.25">
      <c r="A648" s="228"/>
      <c r="B648" s="229"/>
      <c r="C648" s="230"/>
      <c r="D648" s="229" t="s">
        <v>0</v>
      </c>
      <c r="E648" s="228"/>
      <c r="F648" s="228"/>
      <c r="G648" s="228"/>
      <c r="H648" s="231"/>
      <c r="I648" s="232"/>
      <c r="J648" s="228"/>
      <c r="K648" s="231"/>
      <c r="L648" s="231"/>
      <c r="M648" s="231"/>
      <c r="N648" s="231"/>
      <c r="O648" s="231"/>
      <c r="P648" s="228"/>
    </row>
    <row r="649" spans="1:16" x14ac:dyDescent="0.25">
      <c r="A649" s="228"/>
      <c r="B649" s="233"/>
      <c r="C649" s="230"/>
      <c r="D649" s="229" t="s">
        <v>1</v>
      </c>
      <c r="E649" s="228"/>
      <c r="F649" s="228"/>
      <c r="G649" s="228"/>
      <c r="H649" s="231"/>
      <c r="I649" s="232"/>
      <c r="J649" s="228"/>
      <c r="K649" s="231"/>
      <c r="L649" s="231"/>
      <c r="M649" s="231"/>
      <c r="N649" s="231"/>
      <c r="O649" s="231"/>
      <c r="P649" s="228"/>
    </row>
    <row r="650" spans="1:16" x14ac:dyDescent="0.25">
      <c r="A650" s="231"/>
      <c r="B650" s="229"/>
      <c r="C650" s="229"/>
      <c r="D650" s="229" t="s">
        <v>2</v>
      </c>
      <c r="E650" s="231"/>
      <c r="F650" s="231"/>
      <c r="G650" s="231"/>
      <c r="H650" s="231"/>
      <c r="I650" s="229"/>
      <c r="J650" s="231"/>
      <c r="K650" s="231"/>
      <c r="L650" s="231"/>
      <c r="M650" s="231"/>
      <c r="N650" s="231"/>
      <c r="O650" s="231"/>
      <c r="P650" s="815"/>
    </row>
    <row r="651" spans="1:16" x14ac:dyDescent="0.25">
      <c r="A651" s="231"/>
      <c r="B651" s="229"/>
      <c r="C651" s="229"/>
      <c r="D651" s="229" t="s">
        <v>3</v>
      </c>
      <c r="E651" s="231"/>
      <c r="F651" s="231"/>
      <c r="G651" s="231"/>
      <c r="H651" s="231"/>
      <c r="I651" s="229"/>
      <c r="J651" s="231"/>
      <c r="K651" s="231"/>
      <c r="L651" s="231"/>
      <c r="M651" s="231"/>
      <c r="N651" s="231"/>
      <c r="O651" s="231"/>
      <c r="P651" s="231"/>
    </row>
    <row r="652" spans="1:16" x14ac:dyDescent="0.25">
      <c r="A652" s="231"/>
      <c r="B652" s="229"/>
      <c r="C652" s="229"/>
      <c r="D652" s="233" t="s">
        <v>1034</v>
      </c>
      <c r="E652" s="231"/>
      <c r="F652" s="231"/>
      <c r="G652" s="231"/>
      <c r="H652" s="231"/>
      <c r="I652" s="229"/>
      <c r="J652" s="231"/>
      <c r="K652" s="231"/>
      <c r="L652" s="231"/>
      <c r="M652" s="231"/>
      <c r="N652" s="231"/>
      <c r="O652" s="231"/>
      <c r="P652" s="231"/>
    </row>
    <row r="653" spans="1:16" x14ac:dyDescent="0.25">
      <c r="A653" s="231"/>
      <c r="B653" s="229"/>
      <c r="C653" s="229"/>
      <c r="D653" s="229" t="s">
        <v>918</v>
      </c>
      <c r="E653" s="231"/>
      <c r="F653" s="231"/>
      <c r="G653" s="231"/>
      <c r="H653" s="231"/>
      <c r="I653" s="229"/>
      <c r="J653" s="231"/>
      <c r="K653" s="231"/>
      <c r="L653" s="231"/>
      <c r="M653" s="231"/>
      <c r="N653" s="231"/>
      <c r="O653" s="231"/>
      <c r="P653" s="231"/>
    </row>
    <row r="654" spans="1:16" ht="15.75" thickBot="1" x14ac:dyDescent="0.3">
      <c r="A654" s="231"/>
      <c r="B654" s="229"/>
      <c r="C654" s="229"/>
      <c r="D654" s="229" t="s">
        <v>781</v>
      </c>
      <c r="E654" s="231"/>
      <c r="F654" s="231"/>
      <c r="G654" s="231"/>
      <c r="H654" s="231"/>
      <c r="I654" s="229"/>
      <c r="J654" s="231"/>
      <c r="K654" s="231"/>
      <c r="L654" s="231"/>
      <c r="M654" s="231"/>
      <c r="N654" s="231"/>
      <c r="O654" s="231"/>
      <c r="P654" s="231"/>
    </row>
    <row r="655" spans="1:16" x14ac:dyDescent="0.25">
      <c r="A655" s="816" t="s">
        <v>248</v>
      </c>
      <c r="B655" s="717"/>
      <c r="C655" s="717"/>
      <c r="D655" s="718"/>
      <c r="E655" s="278" t="s">
        <v>249</v>
      </c>
      <c r="F655" s="278"/>
      <c r="G655" s="278"/>
      <c r="H655" s="278"/>
      <c r="I655" s="278"/>
      <c r="J655" s="278"/>
      <c r="K655" s="278"/>
      <c r="L655" s="279" t="s">
        <v>250</v>
      </c>
      <c r="M655" s="280" t="s">
        <v>251</v>
      </c>
      <c r="N655" s="281" t="s">
        <v>11</v>
      </c>
      <c r="O655" s="281"/>
      <c r="P655" s="238" t="s">
        <v>12</v>
      </c>
    </row>
    <row r="656" spans="1:16" ht="24" x14ac:dyDescent="0.25">
      <c r="A656" s="282" t="s">
        <v>252</v>
      </c>
      <c r="B656" s="283" t="s">
        <v>253</v>
      </c>
      <c r="C656" s="284" t="s">
        <v>254</v>
      </c>
      <c r="D656" s="285" t="s">
        <v>16</v>
      </c>
      <c r="E656" s="285" t="s">
        <v>255</v>
      </c>
      <c r="F656" s="285" t="s">
        <v>18</v>
      </c>
      <c r="G656" s="285" t="s">
        <v>19</v>
      </c>
      <c r="H656" s="285" t="s">
        <v>20</v>
      </c>
      <c r="I656" s="286" t="s">
        <v>21</v>
      </c>
      <c r="J656" s="285" t="s">
        <v>22</v>
      </c>
      <c r="K656" s="285" t="s">
        <v>23</v>
      </c>
      <c r="L656" s="287"/>
      <c r="M656" s="288"/>
      <c r="N656" s="817" t="s">
        <v>24</v>
      </c>
      <c r="O656" s="817" t="s">
        <v>25</v>
      </c>
      <c r="P656" s="246"/>
    </row>
    <row r="657" spans="1:16" x14ac:dyDescent="0.25">
      <c r="A657" s="818" t="s">
        <v>26</v>
      </c>
      <c r="B657" s="743"/>
      <c r="C657" s="743"/>
      <c r="D657" s="743"/>
      <c r="E657" s="743"/>
      <c r="F657" s="743"/>
      <c r="G657" s="743"/>
      <c r="H657" s="743"/>
      <c r="I657" s="743"/>
      <c r="J657" s="743"/>
      <c r="K657" s="743"/>
      <c r="L657" s="743"/>
      <c r="M657" s="743"/>
      <c r="N657" s="743"/>
      <c r="O657" s="743"/>
      <c r="P657" s="819"/>
    </row>
    <row r="658" spans="1:16" x14ac:dyDescent="0.25">
      <c r="A658" s="820" t="s">
        <v>1035</v>
      </c>
      <c r="B658" s="254" t="s">
        <v>1036</v>
      </c>
      <c r="C658" s="252" t="s">
        <v>1037</v>
      </c>
      <c r="D658" s="821" t="s">
        <v>1038</v>
      </c>
      <c r="E658" s="252">
        <v>19</v>
      </c>
      <c r="F658" s="252">
        <v>5</v>
      </c>
      <c r="G658" s="252">
        <v>0</v>
      </c>
      <c r="H658" s="252">
        <v>0</v>
      </c>
      <c r="I658" s="252">
        <v>24</v>
      </c>
      <c r="J658" s="252">
        <v>26</v>
      </c>
      <c r="K658" s="252">
        <v>50</v>
      </c>
      <c r="L658" s="252">
        <v>2</v>
      </c>
      <c r="M658" s="254">
        <v>4</v>
      </c>
      <c r="N658" s="255">
        <v>0.4</v>
      </c>
      <c r="O658" s="255">
        <v>0.6</v>
      </c>
      <c r="P658" s="260" t="s">
        <v>1039</v>
      </c>
    </row>
    <row r="659" spans="1:16" x14ac:dyDescent="0.25">
      <c r="A659" s="820"/>
      <c r="B659" s="254"/>
      <c r="C659" s="252" t="s">
        <v>1040</v>
      </c>
      <c r="D659" s="821" t="s">
        <v>1041</v>
      </c>
      <c r="E659" s="252">
        <v>14</v>
      </c>
      <c r="F659" s="252">
        <v>0</v>
      </c>
      <c r="G659" s="252">
        <v>10</v>
      </c>
      <c r="H659" s="252">
        <v>0</v>
      </c>
      <c r="I659" s="252">
        <v>24</v>
      </c>
      <c r="J659" s="252">
        <v>26</v>
      </c>
      <c r="K659" s="252">
        <v>50</v>
      </c>
      <c r="L659" s="252">
        <v>2</v>
      </c>
      <c r="M659" s="254"/>
      <c r="N659" s="255">
        <v>0.4</v>
      </c>
      <c r="O659" s="255">
        <v>0.6</v>
      </c>
      <c r="P659" s="260"/>
    </row>
    <row r="660" spans="1:16" x14ac:dyDescent="0.25">
      <c r="A660" s="818" t="s">
        <v>406</v>
      </c>
      <c r="B660" s="743"/>
      <c r="C660" s="743"/>
      <c r="D660" s="743"/>
      <c r="E660" s="743"/>
      <c r="F660" s="743"/>
      <c r="G660" s="743"/>
      <c r="H660" s="743"/>
      <c r="I660" s="743"/>
      <c r="J660" s="743"/>
      <c r="K660" s="743"/>
      <c r="L660" s="743"/>
      <c r="M660" s="743"/>
      <c r="N660" s="743"/>
      <c r="O660" s="743"/>
      <c r="P660" s="819"/>
    </row>
    <row r="661" spans="1:16" x14ac:dyDescent="0.25">
      <c r="A661" s="822" t="s">
        <v>1042</v>
      </c>
      <c r="B661" s="823" t="s">
        <v>1043</v>
      </c>
      <c r="C661" s="252" t="s">
        <v>1044</v>
      </c>
      <c r="D661" s="824" t="s">
        <v>1045</v>
      </c>
      <c r="E661" s="252">
        <v>7</v>
      </c>
      <c r="F661" s="252">
        <v>0</v>
      </c>
      <c r="G661" s="252">
        <v>0</v>
      </c>
      <c r="H661" s="252">
        <v>5</v>
      </c>
      <c r="I661" s="252">
        <v>12</v>
      </c>
      <c r="J661" s="252">
        <v>13</v>
      </c>
      <c r="K661" s="252">
        <v>25</v>
      </c>
      <c r="L661" s="252">
        <v>1</v>
      </c>
      <c r="M661" s="254">
        <v>3</v>
      </c>
      <c r="N661" s="255">
        <v>0.4</v>
      </c>
      <c r="O661" s="255">
        <v>0.6</v>
      </c>
      <c r="P661" s="260" t="s">
        <v>1046</v>
      </c>
    </row>
    <row r="662" spans="1:16" x14ac:dyDescent="0.25">
      <c r="A662" s="822"/>
      <c r="B662" s="823"/>
      <c r="C662" s="252" t="s">
        <v>1047</v>
      </c>
      <c r="D662" s="824" t="s">
        <v>1048</v>
      </c>
      <c r="E662" s="252">
        <v>7</v>
      </c>
      <c r="F662" s="252">
        <v>0</v>
      </c>
      <c r="G662" s="252">
        <v>0</v>
      </c>
      <c r="H662" s="252">
        <v>5</v>
      </c>
      <c r="I662" s="252">
        <v>12</v>
      </c>
      <c r="J662" s="252">
        <v>13</v>
      </c>
      <c r="K662" s="252">
        <v>25</v>
      </c>
      <c r="L662" s="252">
        <v>1</v>
      </c>
      <c r="M662" s="254"/>
      <c r="N662" s="255">
        <v>0.4</v>
      </c>
      <c r="O662" s="255">
        <v>0.6</v>
      </c>
      <c r="P662" s="260"/>
    </row>
    <row r="663" spans="1:16" ht="24" x14ac:dyDescent="0.25">
      <c r="A663" s="822"/>
      <c r="B663" s="823"/>
      <c r="C663" s="252" t="s">
        <v>1049</v>
      </c>
      <c r="D663" s="821" t="s">
        <v>1050</v>
      </c>
      <c r="E663" s="252">
        <v>7</v>
      </c>
      <c r="F663" s="252">
        <v>5</v>
      </c>
      <c r="G663" s="252">
        <v>0</v>
      </c>
      <c r="H663" s="252">
        <v>0</v>
      </c>
      <c r="I663" s="252">
        <v>12</v>
      </c>
      <c r="J663" s="252">
        <v>13</v>
      </c>
      <c r="K663" s="252">
        <v>25</v>
      </c>
      <c r="L663" s="252">
        <v>1</v>
      </c>
      <c r="M663" s="254"/>
      <c r="N663" s="255">
        <v>0.4</v>
      </c>
      <c r="O663" s="255">
        <v>0.6</v>
      </c>
      <c r="P663" s="260"/>
    </row>
    <row r="664" spans="1:16" x14ac:dyDescent="0.25">
      <c r="A664" s="822" t="s">
        <v>1051</v>
      </c>
      <c r="B664" s="825" t="s">
        <v>1052</v>
      </c>
      <c r="C664" s="252" t="s">
        <v>1053</v>
      </c>
      <c r="D664" s="252" t="s">
        <v>1054</v>
      </c>
      <c r="E664" s="252">
        <v>20</v>
      </c>
      <c r="F664" s="252">
        <v>0</v>
      </c>
      <c r="G664" s="252">
        <v>16</v>
      </c>
      <c r="H664" s="252">
        <v>0</v>
      </c>
      <c r="I664" s="252">
        <v>36</v>
      </c>
      <c r="J664" s="252">
        <v>39</v>
      </c>
      <c r="K664" s="252">
        <v>75</v>
      </c>
      <c r="L664" s="252">
        <v>3</v>
      </c>
      <c r="M664" s="254">
        <v>6</v>
      </c>
      <c r="N664" s="255">
        <v>0.4</v>
      </c>
      <c r="O664" s="255">
        <v>0.6</v>
      </c>
      <c r="P664" s="260" t="s">
        <v>1055</v>
      </c>
    </row>
    <row r="665" spans="1:16" x14ac:dyDescent="0.25">
      <c r="A665" s="822"/>
      <c r="B665" s="825"/>
      <c r="C665" s="252" t="s">
        <v>1056</v>
      </c>
      <c r="D665" s="253" t="s">
        <v>1057</v>
      </c>
      <c r="E665" s="252">
        <v>20</v>
      </c>
      <c r="F665" s="252">
        <v>0</v>
      </c>
      <c r="G665" s="252">
        <v>0</v>
      </c>
      <c r="H665" s="252">
        <v>16</v>
      </c>
      <c r="I665" s="252">
        <v>36</v>
      </c>
      <c r="J665" s="252">
        <v>39</v>
      </c>
      <c r="K665" s="252">
        <v>75</v>
      </c>
      <c r="L665" s="252">
        <v>3</v>
      </c>
      <c r="M665" s="254"/>
      <c r="N665" s="255">
        <v>0.4</v>
      </c>
      <c r="O665" s="255">
        <v>0.6</v>
      </c>
      <c r="P665" s="260"/>
    </row>
    <row r="666" spans="1:16" x14ac:dyDescent="0.25">
      <c r="A666" s="826" t="s">
        <v>1058</v>
      </c>
      <c r="B666" s="251" t="s">
        <v>1059</v>
      </c>
      <c r="C666" s="252" t="s">
        <v>1060</v>
      </c>
      <c r="D666" s="252" t="s">
        <v>1061</v>
      </c>
      <c r="E666" s="252">
        <v>24</v>
      </c>
      <c r="F666" s="252">
        <v>0</v>
      </c>
      <c r="G666" s="252">
        <v>0</v>
      </c>
      <c r="H666" s="252">
        <v>0</v>
      </c>
      <c r="I666" s="252">
        <v>24</v>
      </c>
      <c r="J666" s="252">
        <v>26</v>
      </c>
      <c r="K666" s="252">
        <v>50</v>
      </c>
      <c r="L666" s="252">
        <v>2</v>
      </c>
      <c r="M666" s="254">
        <v>5</v>
      </c>
      <c r="N666" s="255">
        <v>0.4</v>
      </c>
      <c r="O666" s="255">
        <v>0.6</v>
      </c>
      <c r="P666" s="256" t="s">
        <v>1062</v>
      </c>
    </row>
    <row r="667" spans="1:16" x14ac:dyDescent="0.25">
      <c r="A667" s="826"/>
      <c r="B667" s="251"/>
      <c r="C667" s="252" t="s">
        <v>1063</v>
      </c>
      <c r="D667" s="252" t="s">
        <v>1064</v>
      </c>
      <c r="E667" s="252">
        <v>24</v>
      </c>
      <c r="F667" s="252">
        <v>0</v>
      </c>
      <c r="G667" s="252">
        <v>0</v>
      </c>
      <c r="H667" s="252">
        <v>12</v>
      </c>
      <c r="I667" s="252">
        <v>36</v>
      </c>
      <c r="J667" s="252">
        <v>39</v>
      </c>
      <c r="K667" s="252">
        <v>75</v>
      </c>
      <c r="L667" s="252">
        <v>3</v>
      </c>
      <c r="M667" s="254"/>
      <c r="N667" s="255">
        <v>0.4</v>
      </c>
      <c r="O667" s="255">
        <v>0.6</v>
      </c>
      <c r="P667" s="256"/>
    </row>
    <row r="668" spans="1:16" x14ac:dyDescent="0.25">
      <c r="A668" s="822" t="s">
        <v>1065</v>
      </c>
      <c r="B668" s="825" t="s">
        <v>1066</v>
      </c>
      <c r="C668" s="252" t="s">
        <v>1067</v>
      </c>
      <c r="D668" s="253" t="s">
        <v>1068</v>
      </c>
      <c r="E668" s="252">
        <v>10</v>
      </c>
      <c r="F668" s="252">
        <v>4</v>
      </c>
      <c r="G668" s="252">
        <v>5</v>
      </c>
      <c r="H668" s="252">
        <v>5</v>
      </c>
      <c r="I668" s="252">
        <v>24</v>
      </c>
      <c r="J668" s="252">
        <v>26</v>
      </c>
      <c r="K668" s="252">
        <v>50</v>
      </c>
      <c r="L668" s="252">
        <v>2</v>
      </c>
      <c r="M668" s="254">
        <v>4</v>
      </c>
      <c r="N668" s="255">
        <v>0.4</v>
      </c>
      <c r="O668" s="255">
        <v>0.6</v>
      </c>
      <c r="P668" s="260" t="s">
        <v>1069</v>
      </c>
    </row>
    <row r="669" spans="1:16" x14ac:dyDescent="0.25">
      <c r="A669" s="822"/>
      <c r="B669" s="825"/>
      <c r="C669" s="252" t="s">
        <v>1070</v>
      </c>
      <c r="D669" s="253" t="s">
        <v>1071</v>
      </c>
      <c r="E669" s="252">
        <v>14</v>
      </c>
      <c r="F669" s="252">
        <v>0</v>
      </c>
      <c r="G669" s="252">
        <v>0</v>
      </c>
      <c r="H669" s="252">
        <v>10</v>
      </c>
      <c r="I669" s="252">
        <v>24</v>
      </c>
      <c r="J669" s="252">
        <v>26</v>
      </c>
      <c r="K669" s="252">
        <v>50</v>
      </c>
      <c r="L669" s="252">
        <v>2</v>
      </c>
      <c r="M669" s="254"/>
      <c r="N669" s="255">
        <v>0.4</v>
      </c>
      <c r="O669" s="255">
        <v>0.6</v>
      </c>
      <c r="P669" s="260"/>
    </row>
    <row r="670" spans="1:16" x14ac:dyDescent="0.25">
      <c r="A670" s="818" t="s">
        <v>62</v>
      </c>
      <c r="B670" s="743"/>
      <c r="C670" s="743"/>
      <c r="D670" s="743"/>
      <c r="E670" s="743"/>
      <c r="F670" s="743"/>
      <c r="G670" s="743"/>
      <c r="H670" s="743"/>
      <c r="I670" s="743"/>
      <c r="J670" s="743"/>
      <c r="K670" s="743"/>
      <c r="L670" s="743"/>
      <c r="M670" s="743"/>
      <c r="N670" s="743"/>
      <c r="O670" s="743"/>
      <c r="P670" s="819"/>
    </row>
    <row r="671" spans="1:16" x14ac:dyDescent="0.25">
      <c r="A671" s="822" t="s">
        <v>1072</v>
      </c>
      <c r="B671" s="825" t="s">
        <v>1073</v>
      </c>
      <c r="C671" s="252" t="s">
        <v>1074</v>
      </c>
      <c r="D671" s="821" t="s">
        <v>376</v>
      </c>
      <c r="E671" s="252">
        <v>12</v>
      </c>
      <c r="F671" s="252">
        <v>0</v>
      </c>
      <c r="G671" s="252">
        <v>0</v>
      </c>
      <c r="H671" s="252">
        <v>0</v>
      </c>
      <c r="I671" s="252">
        <v>12</v>
      </c>
      <c r="J671" s="252">
        <v>13</v>
      </c>
      <c r="K671" s="252">
        <v>25</v>
      </c>
      <c r="L671" s="252">
        <v>1</v>
      </c>
      <c r="M671" s="254">
        <v>3</v>
      </c>
      <c r="N671" s="255">
        <v>0.4</v>
      </c>
      <c r="O671" s="255">
        <v>0.6</v>
      </c>
      <c r="P671" s="260" t="s">
        <v>1075</v>
      </c>
    </row>
    <row r="672" spans="1:16" x14ac:dyDescent="0.25">
      <c r="A672" s="822"/>
      <c r="B672" s="825"/>
      <c r="C672" s="252" t="s">
        <v>1076</v>
      </c>
      <c r="D672" s="729" t="s">
        <v>1077</v>
      </c>
      <c r="E672" s="252">
        <v>15</v>
      </c>
      <c r="F672" s="252">
        <v>0</v>
      </c>
      <c r="G672" s="252">
        <v>0</v>
      </c>
      <c r="H672" s="252">
        <v>9</v>
      </c>
      <c r="I672" s="252">
        <v>24</v>
      </c>
      <c r="J672" s="252">
        <v>26</v>
      </c>
      <c r="K672" s="252">
        <v>50</v>
      </c>
      <c r="L672" s="252">
        <v>2</v>
      </c>
      <c r="M672" s="254"/>
      <c r="N672" s="255">
        <v>0.4</v>
      </c>
      <c r="O672" s="255">
        <v>0.6</v>
      </c>
      <c r="P672" s="260"/>
    </row>
    <row r="673" spans="1:16" x14ac:dyDescent="0.25">
      <c r="A673" s="822" t="s">
        <v>1078</v>
      </c>
      <c r="B673" s="823" t="s">
        <v>1079</v>
      </c>
      <c r="C673" s="252" t="s">
        <v>1080</v>
      </c>
      <c r="D673" s="729" t="s">
        <v>1081</v>
      </c>
      <c r="E673" s="252">
        <v>12</v>
      </c>
      <c r="F673" s="252">
        <v>0</v>
      </c>
      <c r="G673" s="252">
        <v>12</v>
      </c>
      <c r="H673" s="252">
        <v>0</v>
      </c>
      <c r="I673" s="252">
        <v>24</v>
      </c>
      <c r="J673" s="252">
        <v>26</v>
      </c>
      <c r="K673" s="252">
        <v>50</v>
      </c>
      <c r="L673" s="252">
        <v>2</v>
      </c>
      <c r="M673" s="254">
        <v>3</v>
      </c>
      <c r="N673" s="255">
        <v>0.4</v>
      </c>
      <c r="O673" s="255">
        <v>0.6</v>
      </c>
      <c r="P673" s="260" t="s">
        <v>1082</v>
      </c>
    </row>
    <row r="674" spans="1:16" x14ac:dyDescent="0.25">
      <c r="A674" s="822"/>
      <c r="B674" s="823"/>
      <c r="C674" s="252" t="s">
        <v>1083</v>
      </c>
      <c r="D674" s="253" t="s">
        <v>1084</v>
      </c>
      <c r="E674" s="252">
        <v>5</v>
      </c>
      <c r="F674" s="252">
        <v>0</v>
      </c>
      <c r="G674" s="252">
        <v>7</v>
      </c>
      <c r="H674" s="252">
        <v>0</v>
      </c>
      <c r="I674" s="252">
        <v>12</v>
      </c>
      <c r="J674" s="252">
        <v>13</v>
      </c>
      <c r="K674" s="252">
        <v>25</v>
      </c>
      <c r="L674" s="252">
        <v>1</v>
      </c>
      <c r="M674" s="254"/>
      <c r="N674" s="255">
        <v>0.4</v>
      </c>
      <c r="O674" s="255">
        <v>0.6</v>
      </c>
      <c r="P674" s="260"/>
    </row>
    <row r="675" spans="1:16" x14ac:dyDescent="0.25">
      <c r="A675" s="818" t="s">
        <v>67</v>
      </c>
      <c r="B675" s="743"/>
      <c r="C675" s="743"/>
      <c r="D675" s="743"/>
      <c r="E675" s="743"/>
      <c r="F675" s="743"/>
      <c r="G675" s="743"/>
      <c r="H675" s="743"/>
      <c r="I675" s="743"/>
      <c r="J675" s="743"/>
      <c r="K675" s="743"/>
      <c r="L675" s="743"/>
      <c r="M675" s="743"/>
      <c r="N675" s="743"/>
      <c r="O675" s="743"/>
      <c r="P675" s="819"/>
    </row>
    <row r="676" spans="1:16" ht="24.75" x14ac:dyDescent="0.25">
      <c r="A676" s="827" t="s">
        <v>673</v>
      </c>
      <c r="B676" s="729" t="s">
        <v>674</v>
      </c>
      <c r="C676" s="824" t="s">
        <v>673</v>
      </c>
      <c r="D676" s="729" t="s">
        <v>674</v>
      </c>
      <c r="E676" s="253">
        <v>0</v>
      </c>
      <c r="F676" s="253">
        <v>0</v>
      </c>
      <c r="G676" s="253">
        <v>24</v>
      </c>
      <c r="H676" s="253">
        <v>0</v>
      </c>
      <c r="I676" s="253">
        <v>24</v>
      </c>
      <c r="J676" s="253">
        <v>26</v>
      </c>
      <c r="K676" s="252">
        <v>50</v>
      </c>
      <c r="L676" s="252">
        <v>2</v>
      </c>
      <c r="M676" s="253">
        <v>2</v>
      </c>
      <c r="N676" s="255">
        <v>0.4</v>
      </c>
      <c r="O676" s="255">
        <v>0.6</v>
      </c>
      <c r="P676" s="264" t="s">
        <v>1085</v>
      </c>
    </row>
    <row r="677" spans="1:16" ht="15.75" thickBot="1" x14ac:dyDescent="0.3">
      <c r="A677" s="266" t="s">
        <v>677</v>
      </c>
      <c r="B677" s="267"/>
      <c r="C677" s="267"/>
      <c r="D677" s="267"/>
      <c r="E677" s="268">
        <f>SUM(E676,E671:E674,E661:E669,E658:E659)</f>
        <v>210</v>
      </c>
      <c r="F677" s="268">
        <f t="shared" ref="F677:L677" si="22">SUM(F676,F671:F674,F661:F669,F658:F659)</f>
        <v>14</v>
      </c>
      <c r="G677" s="268">
        <f t="shared" si="22"/>
        <v>74</v>
      </c>
      <c r="H677" s="268">
        <f t="shared" si="22"/>
        <v>62</v>
      </c>
      <c r="I677" s="268">
        <f t="shared" si="22"/>
        <v>360</v>
      </c>
      <c r="J677" s="268">
        <f t="shared" si="22"/>
        <v>390</v>
      </c>
      <c r="K677" s="268">
        <f t="shared" si="22"/>
        <v>750</v>
      </c>
      <c r="L677" s="267">
        <f t="shared" si="22"/>
        <v>30</v>
      </c>
      <c r="M677" s="267"/>
      <c r="N677" s="268"/>
      <c r="O677" s="268"/>
      <c r="P677" s="271"/>
    </row>
    <row r="678" spans="1:16" x14ac:dyDescent="0.25">
      <c r="A678" s="841"/>
      <c r="B678" s="841"/>
      <c r="C678" s="841"/>
      <c r="D678" s="841"/>
      <c r="E678" s="841"/>
      <c r="F678" s="841"/>
      <c r="G678" s="841"/>
      <c r="H678" s="841"/>
      <c r="I678" s="841"/>
      <c r="J678" s="841"/>
      <c r="K678" s="841"/>
      <c r="L678" s="841"/>
      <c r="M678" s="841"/>
      <c r="N678" s="841"/>
      <c r="O678" s="841"/>
      <c r="P678" s="841"/>
    </row>
    <row r="679" spans="1:16" x14ac:dyDescent="0.25">
      <c r="A679" s="841"/>
      <c r="B679" s="841"/>
      <c r="C679" s="841"/>
      <c r="D679" s="841"/>
      <c r="E679" s="841"/>
      <c r="F679" s="841"/>
      <c r="G679" s="841"/>
      <c r="H679" s="841"/>
      <c r="I679" s="841"/>
      <c r="J679" s="841"/>
      <c r="K679" s="841"/>
      <c r="L679" s="841"/>
      <c r="M679" s="841"/>
      <c r="N679" s="841"/>
      <c r="O679" s="841"/>
      <c r="P679" s="841"/>
    </row>
    <row r="680" spans="1:16" x14ac:dyDescent="0.25">
      <c r="A680" s="804"/>
      <c r="B680" s="828"/>
      <c r="C680" s="274"/>
      <c r="D680" s="233" t="s">
        <v>1034</v>
      </c>
      <c r="E680" s="231"/>
      <c r="F680" s="231"/>
      <c r="G680" s="276"/>
      <c r="H680" s="276"/>
      <c r="I680" s="276"/>
      <c r="J680" s="276"/>
      <c r="K680" s="276"/>
      <c r="L680" s="276"/>
      <c r="M680" s="276"/>
      <c r="N680" s="274"/>
      <c r="O680" s="274"/>
      <c r="P680" s="276"/>
    </row>
    <row r="681" spans="1:16" x14ac:dyDescent="0.25">
      <c r="A681" s="804"/>
      <c r="B681" s="828"/>
      <c r="C681" s="274"/>
      <c r="D681" s="233" t="s">
        <v>1086</v>
      </c>
      <c r="E681" s="231"/>
      <c r="F681" s="231"/>
      <c r="G681" s="276"/>
      <c r="H681" s="276"/>
      <c r="I681" s="276"/>
      <c r="J681" s="276"/>
      <c r="K681" s="276"/>
      <c r="L681" s="276"/>
      <c r="M681" s="276"/>
      <c r="N681" s="274"/>
      <c r="O681" s="274"/>
      <c r="P681" s="276"/>
    </row>
    <row r="682" spans="1:16" ht="15.75" thickBot="1" x14ac:dyDescent="0.3">
      <c r="A682" s="231"/>
      <c r="B682" s="229"/>
      <c r="C682" s="229"/>
      <c r="D682" s="229" t="s">
        <v>1087</v>
      </c>
      <c r="E682" s="231"/>
      <c r="F682" s="231"/>
      <c r="G682" s="231"/>
      <c r="H682" s="231"/>
      <c r="I682" s="229"/>
      <c r="J682" s="231"/>
      <c r="K682" s="231"/>
      <c r="L682" s="231"/>
      <c r="M682" s="231"/>
      <c r="N682" s="231"/>
      <c r="O682" s="231"/>
      <c r="P682" s="231"/>
    </row>
    <row r="683" spans="1:16" x14ac:dyDescent="0.25">
      <c r="A683" s="829" t="s">
        <v>248</v>
      </c>
      <c r="B683" s="278"/>
      <c r="C683" s="278"/>
      <c r="D683" s="278"/>
      <c r="E683" s="278" t="s">
        <v>249</v>
      </c>
      <c r="F683" s="278"/>
      <c r="G683" s="278"/>
      <c r="H683" s="278"/>
      <c r="I683" s="278"/>
      <c r="J683" s="278"/>
      <c r="K683" s="278"/>
      <c r="L683" s="279" t="s">
        <v>250</v>
      </c>
      <c r="M683" s="280" t="s">
        <v>251</v>
      </c>
      <c r="N683" s="281" t="s">
        <v>11</v>
      </c>
      <c r="O683" s="281"/>
      <c r="P683" s="238" t="s">
        <v>12</v>
      </c>
    </row>
    <row r="684" spans="1:16" ht="24" x14ac:dyDescent="0.25">
      <c r="A684" s="282" t="s">
        <v>252</v>
      </c>
      <c r="B684" s="283" t="s">
        <v>253</v>
      </c>
      <c r="C684" s="284" t="s">
        <v>254</v>
      </c>
      <c r="D684" s="285" t="s">
        <v>16</v>
      </c>
      <c r="E684" s="285" t="s">
        <v>255</v>
      </c>
      <c r="F684" s="285" t="s">
        <v>18</v>
      </c>
      <c r="G684" s="285" t="s">
        <v>19</v>
      </c>
      <c r="H684" s="285" t="s">
        <v>20</v>
      </c>
      <c r="I684" s="286" t="s">
        <v>21</v>
      </c>
      <c r="J684" s="285" t="s">
        <v>22</v>
      </c>
      <c r="K684" s="285" t="s">
        <v>23</v>
      </c>
      <c r="L684" s="287"/>
      <c r="M684" s="288"/>
      <c r="N684" s="817" t="s">
        <v>24</v>
      </c>
      <c r="O684" s="817" t="s">
        <v>25</v>
      </c>
      <c r="P684" s="246"/>
    </row>
    <row r="685" spans="1:16" x14ac:dyDescent="0.25">
      <c r="A685" s="818" t="s">
        <v>26</v>
      </c>
      <c r="B685" s="743"/>
      <c r="C685" s="743"/>
      <c r="D685" s="743"/>
      <c r="E685" s="743"/>
      <c r="F685" s="743"/>
      <c r="G685" s="743"/>
      <c r="H685" s="743"/>
      <c r="I685" s="743"/>
      <c r="J685" s="743"/>
      <c r="K685" s="743"/>
      <c r="L685" s="743"/>
      <c r="M685" s="743"/>
      <c r="N685" s="743"/>
      <c r="O685" s="743"/>
      <c r="P685" s="819"/>
    </row>
    <row r="686" spans="1:16" x14ac:dyDescent="0.25">
      <c r="A686" s="820" t="s">
        <v>1088</v>
      </c>
      <c r="B686" s="823" t="s">
        <v>1089</v>
      </c>
      <c r="C686" s="252" t="s">
        <v>1090</v>
      </c>
      <c r="D686" s="729" t="s">
        <v>1091</v>
      </c>
      <c r="E686" s="252">
        <v>15</v>
      </c>
      <c r="F686" s="252">
        <v>0</v>
      </c>
      <c r="G686" s="252">
        <v>9</v>
      </c>
      <c r="H686" s="252">
        <v>0</v>
      </c>
      <c r="I686" s="252">
        <v>24</v>
      </c>
      <c r="J686" s="252">
        <v>26</v>
      </c>
      <c r="K686" s="252">
        <v>50</v>
      </c>
      <c r="L686" s="252">
        <v>2</v>
      </c>
      <c r="M686" s="254">
        <v>3</v>
      </c>
      <c r="N686" s="255">
        <v>0.4</v>
      </c>
      <c r="O686" s="255">
        <v>0.6</v>
      </c>
      <c r="P686" s="260" t="s">
        <v>1092</v>
      </c>
    </row>
    <row r="687" spans="1:16" x14ac:dyDescent="0.25">
      <c r="A687" s="820"/>
      <c r="B687" s="823"/>
      <c r="C687" s="252" t="s">
        <v>1093</v>
      </c>
      <c r="D687" s="729" t="s">
        <v>1094</v>
      </c>
      <c r="E687" s="252">
        <v>12</v>
      </c>
      <c r="F687" s="252">
        <v>0</v>
      </c>
      <c r="G687" s="252">
        <v>0</v>
      </c>
      <c r="H687" s="252">
        <v>0</v>
      </c>
      <c r="I687" s="252">
        <v>12</v>
      </c>
      <c r="J687" s="252">
        <v>13</v>
      </c>
      <c r="K687" s="252">
        <v>25</v>
      </c>
      <c r="L687" s="252">
        <v>1</v>
      </c>
      <c r="M687" s="254"/>
      <c r="N687" s="255">
        <v>0.4</v>
      </c>
      <c r="O687" s="255">
        <v>0.6</v>
      </c>
      <c r="P687" s="260"/>
    </row>
    <row r="688" spans="1:16" ht="24" x14ac:dyDescent="0.25">
      <c r="A688" s="827" t="s">
        <v>1095</v>
      </c>
      <c r="B688" s="824" t="s">
        <v>1096</v>
      </c>
      <c r="C688" s="252" t="s">
        <v>1095</v>
      </c>
      <c r="D688" s="729" t="s">
        <v>1096</v>
      </c>
      <c r="E688" s="252">
        <v>24</v>
      </c>
      <c r="F688" s="252">
        <v>0</v>
      </c>
      <c r="G688" s="252">
        <v>0</v>
      </c>
      <c r="H688" s="252">
        <v>0</v>
      </c>
      <c r="I688" s="252">
        <v>24</v>
      </c>
      <c r="J688" s="252">
        <v>26</v>
      </c>
      <c r="K688" s="252">
        <v>50</v>
      </c>
      <c r="L688" s="252">
        <v>2</v>
      </c>
      <c r="M688" s="252">
        <v>2</v>
      </c>
      <c r="N688" s="255">
        <v>0.4</v>
      </c>
      <c r="O688" s="255">
        <v>0.6</v>
      </c>
      <c r="P688" s="256" t="s">
        <v>1097</v>
      </c>
    </row>
    <row r="689" spans="1:16" x14ac:dyDescent="0.25">
      <c r="A689" s="818" t="s">
        <v>406</v>
      </c>
      <c r="B689" s="743"/>
      <c r="C689" s="743"/>
      <c r="D689" s="743"/>
      <c r="E689" s="743"/>
      <c r="F689" s="743"/>
      <c r="G689" s="743"/>
      <c r="H689" s="743"/>
      <c r="I689" s="743"/>
      <c r="J689" s="743"/>
      <c r="K689" s="743"/>
      <c r="L689" s="743"/>
      <c r="M689" s="743"/>
      <c r="N689" s="743"/>
      <c r="O689" s="743"/>
      <c r="P689" s="819"/>
    </row>
    <row r="690" spans="1:16" ht="24.75" x14ac:dyDescent="0.25">
      <c r="A690" s="822" t="s">
        <v>1098</v>
      </c>
      <c r="B690" s="823" t="s">
        <v>1099</v>
      </c>
      <c r="C690" s="252" t="s">
        <v>1100</v>
      </c>
      <c r="D690" s="830" t="s">
        <v>1101</v>
      </c>
      <c r="E690" s="252">
        <v>15</v>
      </c>
      <c r="F690" s="252">
        <v>5</v>
      </c>
      <c r="G690" s="252">
        <v>4</v>
      </c>
      <c r="H690" s="252">
        <v>0</v>
      </c>
      <c r="I690" s="252">
        <v>24</v>
      </c>
      <c r="J690" s="252">
        <v>26</v>
      </c>
      <c r="K690" s="252">
        <v>50</v>
      </c>
      <c r="L690" s="252">
        <v>2</v>
      </c>
      <c r="M690" s="254">
        <v>5</v>
      </c>
      <c r="N690" s="255">
        <v>0.4</v>
      </c>
      <c r="O690" s="255">
        <v>0.6</v>
      </c>
      <c r="P690" s="260" t="s">
        <v>1062</v>
      </c>
    </row>
    <row r="691" spans="1:16" ht="24.75" x14ac:dyDescent="0.25">
      <c r="A691" s="822"/>
      <c r="B691" s="823"/>
      <c r="C691" s="252" t="s">
        <v>1102</v>
      </c>
      <c r="D691" s="830" t="s">
        <v>1103</v>
      </c>
      <c r="E691" s="252">
        <v>15</v>
      </c>
      <c r="F691" s="252">
        <v>5</v>
      </c>
      <c r="G691" s="252">
        <v>4</v>
      </c>
      <c r="H691" s="252">
        <v>0</v>
      </c>
      <c r="I691" s="252">
        <v>24</v>
      </c>
      <c r="J691" s="252">
        <v>26</v>
      </c>
      <c r="K691" s="252">
        <v>50</v>
      </c>
      <c r="L691" s="252">
        <v>2</v>
      </c>
      <c r="M691" s="254"/>
      <c r="N691" s="255">
        <v>0.4</v>
      </c>
      <c r="O691" s="255">
        <v>0.6</v>
      </c>
      <c r="P691" s="260"/>
    </row>
    <row r="692" spans="1:16" x14ac:dyDescent="0.25">
      <c r="A692" s="822"/>
      <c r="B692" s="823"/>
      <c r="C692" s="252" t="s">
        <v>1104</v>
      </c>
      <c r="D692" s="830" t="s">
        <v>1105</v>
      </c>
      <c r="E692" s="252">
        <v>8</v>
      </c>
      <c r="F692" s="252">
        <v>4</v>
      </c>
      <c r="G692" s="252">
        <v>0</v>
      </c>
      <c r="H692" s="252">
        <v>0</v>
      </c>
      <c r="I692" s="252">
        <v>12</v>
      </c>
      <c r="J692" s="252">
        <v>13</v>
      </c>
      <c r="K692" s="252">
        <v>25</v>
      </c>
      <c r="L692" s="252">
        <v>1</v>
      </c>
      <c r="M692" s="254"/>
      <c r="N692" s="255">
        <v>0.4</v>
      </c>
      <c r="O692" s="255">
        <v>0.6</v>
      </c>
      <c r="P692" s="260"/>
    </row>
    <row r="693" spans="1:16" x14ac:dyDescent="0.25">
      <c r="A693" s="822" t="s">
        <v>1106</v>
      </c>
      <c r="B693" s="251" t="s">
        <v>1107</v>
      </c>
      <c r="C693" s="252" t="s">
        <v>1108</v>
      </c>
      <c r="D693" s="252" t="s">
        <v>1109</v>
      </c>
      <c r="E693" s="252">
        <v>15</v>
      </c>
      <c r="F693" s="252">
        <v>4</v>
      </c>
      <c r="G693" s="252">
        <v>0</v>
      </c>
      <c r="H693" s="252">
        <v>5</v>
      </c>
      <c r="I693" s="252">
        <v>24</v>
      </c>
      <c r="J693" s="252">
        <v>26</v>
      </c>
      <c r="K693" s="252">
        <v>50</v>
      </c>
      <c r="L693" s="252">
        <v>2</v>
      </c>
      <c r="M693" s="254">
        <v>4</v>
      </c>
      <c r="N693" s="255">
        <v>0.4</v>
      </c>
      <c r="O693" s="255">
        <v>0.6</v>
      </c>
      <c r="P693" s="260" t="s">
        <v>1110</v>
      </c>
    </row>
    <row r="694" spans="1:16" x14ac:dyDescent="0.25">
      <c r="A694" s="822"/>
      <c r="B694" s="251"/>
      <c r="C694" s="252" t="s">
        <v>1111</v>
      </c>
      <c r="D694" s="253" t="s">
        <v>1112</v>
      </c>
      <c r="E694" s="252">
        <v>15</v>
      </c>
      <c r="F694" s="252">
        <v>4</v>
      </c>
      <c r="G694" s="252">
        <v>0</v>
      </c>
      <c r="H694" s="252">
        <v>5</v>
      </c>
      <c r="I694" s="252">
        <v>24</v>
      </c>
      <c r="J694" s="252">
        <v>26</v>
      </c>
      <c r="K694" s="252">
        <v>50</v>
      </c>
      <c r="L694" s="252">
        <v>2</v>
      </c>
      <c r="M694" s="254"/>
      <c r="N694" s="255">
        <v>0.4</v>
      </c>
      <c r="O694" s="255">
        <v>0.6</v>
      </c>
      <c r="P694" s="260"/>
    </row>
    <row r="695" spans="1:16" ht="24" x14ac:dyDescent="0.25">
      <c r="A695" s="826" t="s">
        <v>1113</v>
      </c>
      <c r="B695" s="253" t="s">
        <v>1114</v>
      </c>
      <c r="C695" s="252" t="s">
        <v>1113</v>
      </c>
      <c r="D695" s="253" t="s">
        <v>1114</v>
      </c>
      <c r="E695" s="252">
        <f>E686+E687+E688+E690+E691+E692+E693+E694+E697+E698+E699+E700</f>
        <v>169</v>
      </c>
      <c r="F695" s="252">
        <v>0</v>
      </c>
      <c r="G695" s="252">
        <v>0</v>
      </c>
      <c r="H695" s="252">
        <v>0</v>
      </c>
      <c r="I695" s="252">
        <v>120</v>
      </c>
      <c r="J695" s="252">
        <v>130</v>
      </c>
      <c r="K695" s="252">
        <v>250</v>
      </c>
      <c r="L695" s="252">
        <v>10</v>
      </c>
      <c r="M695" s="252">
        <v>10</v>
      </c>
      <c r="N695" s="255">
        <v>0.4</v>
      </c>
      <c r="O695" s="255">
        <v>0.6</v>
      </c>
      <c r="P695" s="256" t="s">
        <v>1062</v>
      </c>
    </row>
    <row r="696" spans="1:16" x14ac:dyDescent="0.25">
      <c r="A696" s="818" t="s">
        <v>62</v>
      </c>
      <c r="B696" s="743"/>
      <c r="C696" s="743"/>
      <c r="D696" s="743"/>
      <c r="E696" s="743"/>
      <c r="F696" s="743"/>
      <c r="G696" s="743"/>
      <c r="H696" s="743"/>
      <c r="I696" s="743"/>
      <c r="J696" s="743"/>
      <c r="K696" s="743"/>
      <c r="L696" s="743"/>
      <c r="M696" s="743"/>
      <c r="N696" s="743"/>
      <c r="O696" s="743"/>
      <c r="P696" s="819"/>
    </row>
    <row r="697" spans="1:16" ht="24" x14ac:dyDescent="0.25">
      <c r="A697" s="826" t="s">
        <v>1115</v>
      </c>
      <c r="B697" s="821" t="s">
        <v>657</v>
      </c>
      <c r="C697" s="252" t="s">
        <v>1115</v>
      </c>
      <c r="D697" s="821" t="s">
        <v>657</v>
      </c>
      <c r="E697" s="252">
        <v>13</v>
      </c>
      <c r="F697" s="252">
        <v>11</v>
      </c>
      <c r="G697" s="252">
        <v>0</v>
      </c>
      <c r="H697" s="252">
        <v>0</v>
      </c>
      <c r="I697" s="252">
        <v>24</v>
      </c>
      <c r="J697" s="252">
        <v>26</v>
      </c>
      <c r="K697" s="252">
        <v>50</v>
      </c>
      <c r="L697" s="252">
        <v>2</v>
      </c>
      <c r="M697" s="252">
        <v>2</v>
      </c>
      <c r="N697" s="255">
        <v>0.4</v>
      </c>
      <c r="O697" s="255">
        <v>0.6</v>
      </c>
      <c r="P697" s="256" t="s">
        <v>1116</v>
      </c>
    </row>
    <row r="698" spans="1:16" ht="36" x14ac:dyDescent="0.25">
      <c r="A698" s="826" t="s">
        <v>1117</v>
      </c>
      <c r="B698" s="821" t="s">
        <v>659</v>
      </c>
      <c r="C698" s="252" t="s">
        <v>1117</v>
      </c>
      <c r="D698" s="821" t="s">
        <v>659</v>
      </c>
      <c r="E698" s="252">
        <v>13</v>
      </c>
      <c r="F698" s="252">
        <v>11</v>
      </c>
      <c r="G698" s="252">
        <v>0</v>
      </c>
      <c r="H698" s="252">
        <v>0</v>
      </c>
      <c r="I698" s="252">
        <v>24</v>
      </c>
      <c r="J698" s="252">
        <v>26</v>
      </c>
      <c r="K698" s="252">
        <v>50</v>
      </c>
      <c r="L698" s="252">
        <v>2</v>
      </c>
      <c r="M698" s="252">
        <v>2</v>
      </c>
      <c r="N698" s="255">
        <v>0.4</v>
      </c>
      <c r="O698" s="255">
        <v>0.6</v>
      </c>
      <c r="P698" s="256" t="s">
        <v>1116</v>
      </c>
    </row>
    <row r="699" spans="1:16" x14ac:dyDescent="0.25">
      <c r="A699" s="822" t="s">
        <v>667</v>
      </c>
      <c r="B699" s="831" t="s">
        <v>668</v>
      </c>
      <c r="C699" s="253" t="s">
        <v>669</v>
      </c>
      <c r="D699" s="729" t="s">
        <v>670</v>
      </c>
      <c r="E699" s="253">
        <v>12</v>
      </c>
      <c r="F699" s="253">
        <v>0</v>
      </c>
      <c r="G699" s="253">
        <v>0</v>
      </c>
      <c r="H699" s="253">
        <v>0</v>
      </c>
      <c r="I699" s="253">
        <v>12</v>
      </c>
      <c r="J699" s="253">
        <v>13</v>
      </c>
      <c r="K699" s="253">
        <v>25</v>
      </c>
      <c r="L699" s="253">
        <v>1</v>
      </c>
      <c r="M699" s="251">
        <v>2</v>
      </c>
      <c r="N699" s="255">
        <v>0.4</v>
      </c>
      <c r="O699" s="255">
        <v>0.6</v>
      </c>
      <c r="P699" s="260" t="s">
        <v>1118</v>
      </c>
    </row>
    <row r="700" spans="1:16" ht="24.75" x14ac:dyDescent="0.25">
      <c r="A700" s="822"/>
      <c r="B700" s="831"/>
      <c r="C700" s="253" t="s">
        <v>671</v>
      </c>
      <c r="D700" s="729" t="s">
        <v>672</v>
      </c>
      <c r="E700" s="253">
        <v>12</v>
      </c>
      <c r="F700" s="253">
        <v>0</v>
      </c>
      <c r="G700" s="253">
        <v>0</v>
      </c>
      <c r="H700" s="253">
        <v>0</v>
      </c>
      <c r="I700" s="253">
        <v>12</v>
      </c>
      <c r="J700" s="253">
        <v>13</v>
      </c>
      <c r="K700" s="253">
        <v>25</v>
      </c>
      <c r="L700" s="253">
        <v>1</v>
      </c>
      <c r="M700" s="251"/>
      <c r="N700" s="255">
        <v>0.4</v>
      </c>
      <c r="O700" s="255">
        <v>0.6</v>
      </c>
      <c r="P700" s="260"/>
    </row>
    <row r="701" spans="1:16" ht="15.75" thickBot="1" x14ac:dyDescent="0.3">
      <c r="A701" s="266" t="s">
        <v>719</v>
      </c>
      <c r="B701" s="267"/>
      <c r="C701" s="267"/>
      <c r="D701" s="267"/>
      <c r="E701" s="268">
        <f>SUM(E697:E700,E690:E695,E686:E688)</f>
        <v>338</v>
      </c>
      <c r="F701" s="268">
        <f t="shared" ref="F701:M701" si="23">SUM(F697:F700,F690:F695,F686:F688)</f>
        <v>44</v>
      </c>
      <c r="G701" s="268">
        <f t="shared" si="23"/>
        <v>17</v>
      </c>
      <c r="H701" s="268">
        <f t="shared" si="23"/>
        <v>10</v>
      </c>
      <c r="I701" s="268">
        <f t="shared" si="23"/>
        <v>360</v>
      </c>
      <c r="J701" s="268">
        <f t="shared" si="23"/>
        <v>390</v>
      </c>
      <c r="K701" s="268">
        <f t="shared" si="23"/>
        <v>750</v>
      </c>
      <c r="L701" s="268">
        <f t="shared" si="23"/>
        <v>30</v>
      </c>
      <c r="M701" s="268">
        <f t="shared" si="23"/>
        <v>30</v>
      </c>
      <c r="N701" s="268"/>
      <c r="O701" s="268"/>
      <c r="P701" s="271"/>
    </row>
    <row r="702" spans="1:16" x14ac:dyDescent="0.25">
      <c r="A702" s="841"/>
      <c r="B702" s="841"/>
      <c r="C702" s="841"/>
      <c r="D702" s="841"/>
      <c r="E702" s="841"/>
      <c r="F702" s="841"/>
      <c r="G702" s="841"/>
      <c r="H702" s="841"/>
      <c r="I702" s="841"/>
      <c r="J702" s="841"/>
      <c r="K702" s="841"/>
      <c r="L702" s="841"/>
      <c r="M702" s="841"/>
      <c r="N702" s="841"/>
      <c r="O702" s="841"/>
      <c r="P702" s="841"/>
    </row>
    <row r="703" spans="1:16" x14ac:dyDescent="0.25">
      <c r="A703" s="841"/>
      <c r="B703" s="841"/>
      <c r="C703" s="841"/>
      <c r="D703" s="841"/>
      <c r="E703" s="841"/>
      <c r="F703" s="841"/>
      <c r="G703" s="841"/>
      <c r="H703" s="841"/>
      <c r="I703" s="841"/>
      <c r="J703" s="841"/>
      <c r="K703" s="841"/>
      <c r="L703" s="841"/>
      <c r="M703" s="841"/>
      <c r="N703" s="841"/>
      <c r="O703" s="841"/>
      <c r="P703" s="841"/>
    </row>
    <row r="704" spans="1:16" x14ac:dyDescent="0.25">
      <c r="A704" s="841"/>
      <c r="B704" s="841"/>
      <c r="C704" s="841"/>
      <c r="D704" s="841"/>
      <c r="E704" s="841"/>
      <c r="F704" s="841"/>
      <c r="G704" s="841"/>
      <c r="H704" s="841"/>
      <c r="I704" s="841"/>
      <c r="J704" s="841"/>
      <c r="K704" s="841"/>
      <c r="L704" s="841"/>
      <c r="M704" s="841"/>
      <c r="N704" s="841"/>
      <c r="O704" s="841"/>
      <c r="P704" s="841"/>
    </row>
    <row r="705" spans="1:16" x14ac:dyDescent="0.25">
      <c r="A705" s="804"/>
      <c r="B705" s="828"/>
      <c r="C705" s="274"/>
      <c r="D705" s="275"/>
      <c r="E705" s="276"/>
      <c r="F705" s="276"/>
      <c r="G705" s="276"/>
      <c r="H705" s="276"/>
      <c r="I705" s="276"/>
      <c r="J705" s="276"/>
      <c r="K705" s="276"/>
      <c r="L705" s="276"/>
      <c r="M705" s="276"/>
      <c r="N705" s="274"/>
      <c r="O705" s="274"/>
      <c r="P705" s="276"/>
    </row>
    <row r="706" spans="1:16" x14ac:dyDescent="0.25">
      <c r="A706" s="804"/>
      <c r="B706" s="828"/>
      <c r="C706" s="274"/>
      <c r="D706" s="233" t="s">
        <v>1034</v>
      </c>
      <c r="E706" s="231"/>
      <c r="F706" s="231"/>
      <c r="G706" s="276"/>
      <c r="H706" s="276"/>
      <c r="I706" s="276"/>
      <c r="J706" s="276"/>
      <c r="K706" s="276"/>
      <c r="L706" s="276"/>
      <c r="M706" s="276"/>
      <c r="N706" s="274"/>
      <c r="O706" s="274"/>
      <c r="P706" s="276"/>
    </row>
    <row r="707" spans="1:16" x14ac:dyDescent="0.25">
      <c r="A707" s="231"/>
      <c r="B707" s="229"/>
      <c r="C707" s="229"/>
      <c r="D707" s="233" t="s">
        <v>1086</v>
      </c>
      <c r="E707" s="231"/>
      <c r="F707" s="231"/>
      <c r="G707" s="231"/>
      <c r="H707" s="231"/>
      <c r="I707" s="229"/>
      <c r="J707" s="231"/>
      <c r="K707" s="231"/>
      <c r="L707" s="231"/>
      <c r="M707" s="231"/>
      <c r="N707" s="231"/>
      <c r="O707" s="231"/>
      <c r="P707" s="231"/>
    </row>
    <row r="708" spans="1:16" x14ac:dyDescent="0.25">
      <c r="A708" s="231"/>
      <c r="B708" s="229"/>
      <c r="C708" s="229"/>
      <c r="D708" s="229" t="s">
        <v>1119</v>
      </c>
      <c r="E708" s="231"/>
      <c r="F708" s="231"/>
      <c r="G708" s="231"/>
      <c r="H708" s="231"/>
      <c r="I708" s="229"/>
      <c r="J708" s="231"/>
      <c r="K708" s="231"/>
      <c r="L708" s="231"/>
      <c r="M708" s="231"/>
      <c r="N708" s="231"/>
      <c r="O708" s="231"/>
      <c r="P708" s="231"/>
    </row>
    <row r="709" spans="1:16" ht="15.75" thickBot="1" x14ac:dyDescent="0.3">
      <c r="A709" s="272"/>
      <c r="B709" s="273"/>
      <c r="C709" s="274"/>
      <c r="D709" s="275"/>
      <c r="E709" s="272"/>
      <c r="F709" s="272"/>
      <c r="G709" s="272"/>
      <c r="H709" s="276"/>
      <c r="I709" s="273"/>
      <c r="J709" s="272"/>
      <c r="K709" s="276"/>
      <c r="L709" s="276"/>
      <c r="M709" s="276"/>
      <c r="N709" s="276"/>
      <c r="O709" s="276"/>
      <c r="P709" s="272"/>
    </row>
    <row r="710" spans="1:16" x14ac:dyDescent="0.25">
      <c r="A710" s="829" t="s">
        <v>248</v>
      </c>
      <c r="B710" s="278"/>
      <c r="C710" s="278"/>
      <c r="D710" s="278"/>
      <c r="E710" s="278" t="s">
        <v>249</v>
      </c>
      <c r="F710" s="278"/>
      <c r="G710" s="278"/>
      <c r="H710" s="278"/>
      <c r="I710" s="278"/>
      <c r="J710" s="278"/>
      <c r="K710" s="278"/>
      <c r="L710" s="279" t="s">
        <v>250</v>
      </c>
      <c r="M710" s="280" t="s">
        <v>251</v>
      </c>
      <c r="N710" s="281" t="s">
        <v>11</v>
      </c>
      <c r="O710" s="281"/>
      <c r="P710" s="238" t="s">
        <v>12</v>
      </c>
    </row>
    <row r="711" spans="1:16" ht="24" x14ac:dyDescent="0.25">
      <c r="A711" s="282" t="s">
        <v>252</v>
      </c>
      <c r="B711" s="283" t="s">
        <v>253</v>
      </c>
      <c r="C711" s="284" t="s">
        <v>254</v>
      </c>
      <c r="D711" s="285" t="s">
        <v>16</v>
      </c>
      <c r="E711" s="285" t="s">
        <v>255</v>
      </c>
      <c r="F711" s="285" t="s">
        <v>18</v>
      </c>
      <c r="G711" s="285" t="s">
        <v>19</v>
      </c>
      <c r="H711" s="285" t="s">
        <v>20</v>
      </c>
      <c r="I711" s="286" t="s">
        <v>21</v>
      </c>
      <c r="J711" s="285" t="s">
        <v>22</v>
      </c>
      <c r="K711" s="285" t="s">
        <v>23</v>
      </c>
      <c r="L711" s="287"/>
      <c r="M711" s="288"/>
      <c r="N711" s="817" t="s">
        <v>24</v>
      </c>
      <c r="O711" s="817" t="s">
        <v>25</v>
      </c>
      <c r="P711" s="246"/>
    </row>
    <row r="712" spans="1:16" x14ac:dyDescent="0.25">
      <c r="A712" s="818" t="s">
        <v>406</v>
      </c>
      <c r="B712" s="743"/>
      <c r="C712" s="743"/>
      <c r="D712" s="743"/>
      <c r="E712" s="743"/>
      <c r="F712" s="743"/>
      <c r="G712" s="743"/>
      <c r="H712" s="743"/>
      <c r="I712" s="743"/>
      <c r="J712" s="743"/>
      <c r="K712" s="743"/>
      <c r="L712" s="743"/>
      <c r="M712" s="743"/>
      <c r="N712" s="743"/>
      <c r="O712" s="743"/>
      <c r="P712" s="819"/>
    </row>
    <row r="713" spans="1:16" x14ac:dyDescent="0.25">
      <c r="A713" s="820" t="s">
        <v>1120</v>
      </c>
      <c r="B713" s="825" t="s">
        <v>1121</v>
      </c>
      <c r="C713" s="253" t="s">
        <v>1122</v>
      </c>
      <c r="D713" s="729" t="s">
        <v>1123</v>
      </c>
      <c r="E713" s="253">
        <v>20</v>
      </c>
      <c r="F713" s="253">
        <v>4</v>
      </c>
      <c r="G713" s="253">
        <v>0</v>
      </c>
      <c r="H713" s="253">
        <v>0</v>
      </c>
      <c r="I713" s="252">
        <f t="shared" ref="I713" si="24">SUM(E713:H713)</f>
        <v>24</v>
      </c>
      <c r="J713" s="252">
        <f t="shared" ref="J713" si="25">I713+(I713/12)</f>
        <v>26</v>
      </c>
      <c r="K713" s="252">
        <f t="shared" ref="K713" si="26">J713+I713</f>
        <v>50</v>
      </c>
      <c r="L713" s="252">
        <f t="shared" ref="L713" si="27">K713/25</f>
        <v>2</v>
      </c>
      <c r="M713" s="254">
        <v>6</v>
      </c>
      <c r="N713" s="255">
        <v>0.4</v>
      </c>
      <c r="O713" s="255">
        <v>0.6</v>
      </c>
      <c r="P713" s="260" t="s">
        <v>1124</v>
      </c>
    </row>
    <row r="714" spans="1:16" ht="24.75" x14ac:dyDescent="0.25">
      <c r="A714" s="820"/>
      <c r="B714" s="825"/>
      <c r="C714" s="253" t="s">
        <v>1125</v>
      </c>
      <c r="D714" s="729" t="s">
        <v>1126</v>
      </c>
      <c r="E714" s="253">
        <v>15</v>
      </c>
      <c r="F714" s="253"/>
      <c r="G714" s="253">
        <v>9</v>
      </c>
      <c r="H714" s="253">
        <v>0</v>
      </c>
      <c r="I714" s="252">
        <f>SUM(E714:H714)</f>
        <v>24</v>
      </c>
      <c r="J714" s="252">
        <f>I714+(I714/12)</f>
        <v>26</v>
      </c>
      <c r="K714" s="252">
        <f>J714+I714</f>
        <v>50</v>
      </c>
      <c r="L714" s="252">
        <f>K714/25</f>
        <v>2</v>
      </c>
      <c r="M714" s="254"/>
      <c r="N714" s="255">
        <v>0.4</v>
      </c>
      <c r="O714" s="255">
        <v>0.6</v>
      </c>
      <c r="P714" s="260"/>
    </row>
    <row r="715" spans="1:16" x14ac:dyDescent="0.25">
      <c r="A715" s="820"/>
      <c r="B715" s="825"/>
      <c r="C715" s="253" t="s">
        <v>1127</v>
      </c>
      <c r="D715" s="729" t="s">
        <v>1128</v>
      </c>
      <c r="E715" s="253">
        <v>10</v>
      </c>
      <c r="F715" s="253">
        <v>14</v>
      </c>
      <c r="G715" s="253">
        <v>0</v>
      </c>
      <c r="H715" s="253">
        <v>0</v>
      </c>
      <c r="I715" s="252">
        <f t="shared" ref="I715:I717" si="28">SUM(E715:H715)</f>
        <v>24</v>
      </c>
      <c r="J715" s="252">
        <f t="shared" ref="J715:J717" si="29">I715+(I715/12)</f>
        <v>26</v>
      </c>
      <c r="K715" s="252">
        <f t="shared" ref="K715:K717" si="30">J715+I715</f>
        <v>50</v>
      </c>
      <c r="L715" s="252">
        <f t="shared" ref="L715:L717" si="31">K715/25</f>
        <v>2</v>
      </c>
      <c r="M715" s="254"/>
      <c r="N715" s="255">
        <v>0.4</v>
      </c>
      <c r="O715" s="255">
        <v>0.6</v>
      </c>
      <c r="P715" s="260"/>
    </row>
    <row r="716" spans="1:16" ht="24" x14ac:dyDescent="0.25">
      <c r="A716" s="832" t="s">
        <v>1129</v>
      </c>
      <c r="B716" s="821" t="s">
        <v>1130</v>
      </c>
      <c r="C716" s="253" t="s">
        <v>1131</v>
      </c>
      <c r="D716" s="821" t="s">
        <v>1130</v>
      </c>
      <c r="E716" s="253">
        <v>24</v>
      </c>
      <c r="F716" s="253">
        <v>0</v>
      </c>
      <c r="G716" s="253">
        <v>0</v>
      </c>
      <c r="H716" s="253">
        <v>0</v>
      </c>
      <c r="I716" s="252">
        <f t="shared" si="28"/>
        <v>24</v>
      </c>
      <c r="J716" s="252">
        <f t="shared" si="29"/>
        <v>26</v>
      </c>
      <c r="K716" s="252">
        <f t="shared" si="30"/>
        <v>50</v>
      </c>
      <c r="L716" s="252">
        <f t="shared" si="31"/>
        <v>2</v>
      </c>
      <c r="M716" s="252">
        <v>2</v>
      </c>
      <c r="N716" s="255">
        <v>0.4</v>
      </c>
      <c r="O716" s="255">
        <v>0.6</v>
      </c>
      <c r="P716" s="256" t="s">
        <v>1132</v>
      </c>
    </row>
    <row r="717" spans="1:16" ht="24.75" x14ac:dyDescent="0.25">
      <c r="A717" s="822" t="s">
        <v>1133</v>
      </c>
      <c r="B717" s="825" t="s">
        <v>1134</v>
      </c>
      <c r="C717" s="252" t="s">
        <v>1135</v>
      </c>
      <c r="D717" s="729" t="s">
        <v>1136</v>
      </c>
      <c r="E717" s="252">
        <v>10</v>
      </c>
      <c r="F717" s="252">
        <v>0</v>
      </c>
      <c r="G717" s="252">
        <v>14</v>
      </c>
      <c r="H717" s="252">
        <v>0</v>
      </c>
      <c r="I717" s="252">
        <f t="shared" si="28"/>
        <v>24</v>
      </c>
      <c r="J717" s="252">
        <f t="shared" si="29"/>
        <v>26</v>
      </c>
      <c r="K717" s="252">
        <f t="shared" si="30"/>
        <v>50</v>
      </c>
      <c r="L717" s="252">
        <f t="shared" si="31"/>
        <v>2</v>
      </c>
      <c r="M717" s="254">
        <v>4</v>
      </c>
      <c r="N717" s="255">
        <v>0.4</v>
      </c>
      <c r="O717" s="255">
        <v>0.6</v>
      </c>
      <c r="P717" s="260" t="s">
        <v>1137</v>
      </c>
    </row>
    <row r="718" spans="1:16" ht="24.75" x14ac:dyDescent="0.25">
      <c r="A718" s="822"/>
      <c r="B718" s="825"/>
      <c r="C718" s="252" t="s">
        <v>1138</v>
      </c>
      <c r="D718" s="729" t="s">
        <v>1139</v>
      </c>
      <c r="E718" s="252">
        <v>10</v>
      </c>
      <c r="F718" s="252">
        <v>0</v>
      </c>
      <c r="G718" s="252">
        <v>14</v>
      </c>
      <c r="H718" s="252">
        <v>0</v>
      </c>
      <c r="I718" s="252">
        <f>SUM(E718:H718)</f>
        <v>24</v>
      </c>
      <c r="J718" s="252">
        <f>I718+(I718/12)</f>
        <v>26</v>
      </c>
      <c r="K718" s="252">
        <f>J718+I718</f>
        <v>50</v>
      </c>
      <c r="L718" s="252">
        <f>K718/25</f>
        <v>2</v>
      </c>
      <c r="M718" s="254"/>
      <c r="N718" s="255">
        <v>0.4</v>
      </c>
      <c r="O718" s="255">
        <v>0.6</v>
      </c>
      <c r="P718" s="260"/>
    </row>
    <row r="719" spans="1:16" x14ac:dyDescent="0.25">
      <c r="A719" s="822" t="s">
        <v>1140</v>
      </c>
      <c r="B719" s="251" t="s">
        <v>1141</v>
      </c>
      <c r="C719" s="252" t="s">
        <v>1142</v>
      </c>
      <c r="D719" s="729" t="s">
        <v>1143</v>
      </c>
      <c r="E719" s="252">
        <v>10</v>
      </c>
      <c r="F719" s="252">
        <v>0</v>
      </c>
      <c r="G719" s="252">
        <v>14</v>
      </c>
      <c r="H719" s="252">
        <v>0</v>
      </c>
      <c r="I719" s="252">
        <f t="shared" ref="I719:I722" si="32">SUM(E719:H719)</f>
        <v>24</v>
      </c>
      <c r="J719" s="252">
        <f t="shared" ref="J719:J722" si="33">I719+(I719/12)</f>
        <v>26</v>
      </c>
      <c r="K719" s="252">
        <f t="shared" ref="K719:K722" si="34">J719+I719</f>
        <v>50</v>
      </c>
      <c r="L719" s="252">
        <f t="shared" ref="L719:L722" si="35">K719/25</f>
        <v>2</v>
      </c>
      <c r="M719" s="254">
        <v>6</v>
      </c>
      <c r="N719" s="255">
        <v>0.4</v>
      </c>
      <c r="O719" s="255">
        <v>0.6</v>
      </c>
      <c r="P719" s="260" t="s">
        <v>1137</v>
      </c>
    </row>
    <row r="720" spans="1:16" x14ac:dyDescent="0.25">
      <c r="A720" s="833"/>
      <c r="B720" s="251"/>
      <c r="C720" s="252" t="s">
        <v>1144</v>
      </c>
      <c r="D720" s="729" t="s">
        <v>1145</v>
      </c>
      <c r="E720" s="252">
        <v>10</v>
      </c>
      <c r="F720" s="252">
        <v>0</v>
      </c>
      <c r="G720" s="252">
        <v>14</v>
      </c>
      <c r="H720" s="252">
        <v>0</v>
      </c>
      <c r="I720" s="252">
        <f t="shared" si="32"/>
        <v>24</v>
      </c>
      <c r="J720" s="252">
        <f t="shared" si="33"/>
        <v>26</v>
      </c>
      <c r="K720" s="252">
        <f t="shared" si="34"/>
        <v>50</v>
      </c>
      <c r="L720" s="252">
        <f t="shared" si="35"/>
        <v>2</v>
      </c>
      <c r="M720" s="254"/>
      <c r="N720" s="255">
        <v>0.4</v>
      </c>
      <c r="O720" s="255">
        <v>0.6</v>
      </c>
      <c r="P720" s="260"/>
    </row>
    <row r="721" spans="1:16" ht="24.75" x14ac:dyDescent="0.25">
      <c r="A721" s="833"/>
      <c r="B721" s="251"/>
      <c r="C721" s="252" t="s">
        <v>1146</v>
      </c>
      <c r="D721" s="729" t="s">
        <v>1147</v>
      </c>
      <c r="E721" s="252">
        <v>10</v>
      </c>
      <c r="F721" s="252">
        <v>0</v>
      </c>
      <c r="G721" s="252">
        <v>14</v>
      </c>
      <c r="H721" s="252">
        <v>0</v>
      </c>
      <c r="I721" s="252">
        <f t="shared" si="32"/>
        <v>24</v>
      </c>
      <c r="J721" s="252">
        <f t="shared" si="33"/>
        <v>26</v>
      </c>
      <c r="K721" s="252">
        <f t="shared" si="34"/>
        <v>50</v>
      </c>
      <c r="L721" s="252">
        <f t="shared" si="35"/>
        <v>2</v>
      </c>
      <c r="M721" s="254"/>
      <c r="N721" s="255">
        <v>0.4</v>
      </c>
      <c r="O721" s="255">
        <v>0.6</v>
      </c>
      <c r="P721" s="260"/>
    </row>
    <row r="722" spans="1:16" ht="60" x14ac:dyDescent="0.25">
      <c r="A722" s="826" t="s">
        <v>1148</v>
      </c>
      <c r="B722" s="821" t="s">
        <v>1149</v>
      </c>
      <c r="C722" s="252" t="s">
        <v>1150</v>
      </c>
      <c r="D722" s="821" t="s">
        <v>1149</v>
      </c>
      <c r="E722" s="252">
        <v>5</v>
      </c>
      <c r="F722" s="252">
        <v>0</v>
      </c>
      <c r="G722" s="252">
        <v>19</v>
      </c>
      <c r="H722" s="252">
        <v>0</v>
      </c>
      <c r="I722" s="252">
        <f t="shared" si="32"/>
        <v>24</v>
      </c>
      <c r="J722" s="252">
        <f t="shared" si="33"/>
        <v>26</v>
      </c>
      <c r="K722" s="252">
        <f t="shared" si="34"/>
        <v>50</v>
      </c>
      <c r="L722" s="252">
        <f t="shared" si="35"/>
        <v>2</v>
      </c>
      <c r="M722" s="252">
        <v>2</v>
      </c>
      <c r="N722" s="255">
        <v>0.4</v>
      </c>
      <c r="O722" s="255">
        <v>0.6</v>
      </c>
      <c r="P722" s="256" t="s">
        <v>1151</v>
      </c>
    </row>
    <row r="723" spans="1:16" ht="24" x14ac:dyDescent="0.25">
      <c r="A723" s="833" t="s">
        <v>1152</v>
      </c>
      <c r="B723" s="251" t="s">
        <v>1153</v>
      </c>
      <c r="C723" s="252" t="s">
        <v>1154</v>
      </c>
      <c r="D723" s="821" t="s">
        <v>1155</v>
      </c>
      <c r="E723" s="252">
        <v>14</v>
      </c>
      <c r="F723" s="252">
        <v>0</v>
      </c>
      <c r="G723" s="252">
        <v>0</v>
      </c>
      <c r="H723" s="252">
        <v>22</v>
      </c>
      <c r="I723" s="252">
        <f>SUM(E723:H723)</f>
        <v>36</v>
      </c>
      <c r="J723" s="252">
        <f>I723+(I723/12)</f>
        <v>39</v>
      </c>
      <c r="K723" s="252">
        <f>J723+I723</f>
        <v>75</v>
      </c>
      <c r="L723" s="252">
        <f>K723/25</f>
        <v>3</v>
      </c>
      <c r="M723" s="254">
        <v>6</v>
      </c>
      <c r="N723" s="255">
        <v>0.4</v>
      </c>
      <c r="O723" s="255">
        <v>0.6</v>
      </c>
      <c r="P723" s="260" t="s">
        <v>1156</v>
      </c>
    </row>
    <row r="724" spans="1:16" x14ac:dyDescent="0.25">
      <c r="A724" s="833"/>
      <c r="B724" s="251"/>
      <c r="C724" s="252" t="s">
        <v>1157</v>
      </c>
      <c r="D724" s="821" t="s">
        <v>1158</v>
      </c>
      <c r="E724" s="252">
        <v>10</v>
      </c>
      <c r="F724" s="252">
        <v>2</v>
      </c>
      <c r="G724" s="252">
        <v>0</v>
      </c>
      <c r="H724" s="252">
        <v>0</v>
      </c>
      <c r="I724" s="252">
        <f t="shared" ref="I724:I725" si="36">SUM(E724:H724)</f>
        <v>12</v>
      </c>
      <c r="J724" s="252">
        <f>I724+(I724/12)</f>
        <v>13</v>
      </c>
      <c r="K724" s="252">
        <f t="shared" ref="K724:K725" si="37">J724+I724</f>
        <v>25</v>
      </c>
      <c r="L724" s="252">
        <f t="shared" ref="L724:L725" si="38">K724/25</f>
        <v>1</v>
      </c>
      <c r="M724" s="254"/>
      <c r="N724" s="255">
        <v>0.4</v>
      </c>
      <c r="O724" s="255">
        <v>0.6</v>
      </c>
      <c r="P724" s="260"/>
    </row>
    <row r="725" spans="1:16" x14ac:dyDescent="0.25">
      <c r="A725" s="833"/>
      <c r="B725" s="251"/>
      <c r="C725" s="252" t="s">
        <v>1159</v>
      </c>
      <c r="D725" s="821" t="s">
        <v>1160</v>
      </c>
      <c r="E725" s="252">
        <v>15</v>
      </c>
      <c r="F725" s="252">
        <v>9</v>
      </c>
      <c r="G725" s="252">
        <v>0</v>
      </c>
      <c r="H725" s="252">
        <v>0</v>
      </c>
      <c r="I725" s="252">
        <f t="shared" si="36"/>
        <v>24</v>
      </c>
      <c r="J725" s="252">
        <f t="shared" ref="J725" si="39">I725+(I725/12)</f>
        <v>26</v>
      </c>
      <c r="K725" s="252">
        <f t="shared" si="37"/>
        <v>50</v>
      </c>
      <c r="L725" s="252">
        <f t="shared" si="38"/>
        <v>2</v>
      </c>
      <c r="M725" s="254"/>
      <c r="N725" s="255">
        <v>0.4</v>
      </c>
      <c r="O725" s="255">
        <v>0.6</v>
      </c>
      <c r="P725" s="260"/>
    </row>
    <row r="726" spans="1:16" ht="12.75" customHeight="1" x14ac:dyDescent="0.25">
      <c r="A726" s="818" t="s">
        <v>62</v>
      </c>
      <c r="B726" s="743"/>
      <c r="C726" s="743"/>
      <c r="D726" s="743"/>
      <c r="E726" s="743"/>
      <c r="F726" s="743"/>
      <c r="G726" s="743"/>
      <c r="H726" s="743"/>
      <c r="I726" s="743"/>
      <c r="J726" s="743"/>
      <c r="K726" s="743"/>
      <c r="L726" s="743"/>
      <c r="M726" s="743"/>
      <c r="N726" s="743"/>
      <c r="O726" s="743"/>
      <c r="P726" s="819"/>
    </row>
    <row r="727" spans="1:16" x14ac:dyDescent="0.25">
      <c r="A727" s="822" t="s">
        <v>1161</v>
      </c>
      <c r="B727" s="825" t="s">
        <v>1162</v>
      </c>
      <c r="C727" s="252" t="s">
        <v>1163</v>
      </c>
      <c r="D727" s="821" t="s">
        <v>695</v>
      </c>
      <c r="E727" s="252">
        <v>0</v>
      </c>
      <c r="F727" s="252">
        <v>12</v>
      </c>
      <c r="G727" s="252">
        <v>0</v>
      </c>
      <c r="H727" s="252">
        <v>0</v>
      </c>
      <c r="I727" s="252">
        <f>SUM(E727:H727)</f>
        <v>12</v>
      </c>
      <c r="J727" s="252">
        <f>I727+(I727/12)</f>
        <v>13</v>
      </c>
      <c r="K727" s="252">
        <f>J727+I727</f>
        <v>25</v>
      </c>
      <c r="L727" s="252">
        <f>K727/25</f>
        <v>1</v>
      </c>
      <c r="M727" s="254">
        <v>2</v>
      </c>
      <c r="N727" s="255">
        <v>0.4</v>
      </c>
      <c r="O727" s="255">
        <v>0.6</v>
      </c>
      <c r="P727" s="260" t="s">
        <v>1164</v>
      </c>
    </row>
    <row r="728" spans="1:16" x14ac:dyDescent="0.25">
      <c r="A728" s="822"/>
      <c r="B728" s="825"/>
      <c r="C728" s="252" t="s">
        <v>1165</v>
      </c>
      <c r="D728" s="821" t="s">
        <v>1166</v>
      </c>
      <c r="E728" s="252">
        <v>12</v>
      </c>
      <c r="F728" s="252">
        <v>0</v>
      </c>
      <c r="G728" s="252">
        <v>0</v>
      </c>
      <c r="H728" s="252">
        <v>0</v>
      </c>
      <c r="I728" s="252">
        <f t="shared" ref="I728" si="40">SUM(E728:H728)</f>
        <v>12</v>
      </c>
      <c r="J728" s="252">
        <f t="shared" ref="J728" si="41">I728+(I728/12)</f>
        <v>13</v>
      </c>
      <c r="K728" s="252">
        <f t="shared" ref="K728" si="42">J728+I728</f>
        <v>25</v>
      </c>
      <c r="L728" s="252">
        <f t="shared" ref="L728" si="43">K728/25</f>
        <v>1</v>
      </c>
      <c r="M728" s="254"/>
      <c r="N728" s="255">
        <v>0.4</v>
      </c>
      <c r="O728" s="255">
        <v>0.6</v>
      </c>
      <c r="P728" s="260"/>
    </row>
    <row r="729" spans="1:16" ht="12" customHeight="1" x14ac:dyDescent="0.25">
      <c r="A729" s="818" t="s">
        <v>67</v>
      </c>
      <c r="B729" s="743"/>
      <c r="C729" s="743"/>
      <c r="D729" s="743"/>
      <c r="E729" s="743"/>
      <c r="F729" s="743"/>
      <c r="G729" s="743"/>
      <c r="H729" s="743"/>
      <c r="I729" s="743"/>
      <c r="J729" s="743"/>
      <c r="K729" s="743"/>
      <c r="L729" s="743"/>
      <c r="M729" s="743"/>
      <c r="N729" s="743"/>
      <c r="O729" s="743"/>
      <c r="P729" s="819"/>
    </row>
    <row r="730" spans="1:16" ht="24.75" x14ac:dyDescent="0.25">
      <c r="A730" s="827" t="s">
        <v>1167</v>
      </c>
      <c r="B730" s="729" t="s">
        <v>674</v>
      </c>
      <c r="C730" s="824" t="s">
        <v>1168</v>
      </c>
      <c r="D730" s="729" t="s">
        <v>674</v>
      </c>
      <c r="E730" s="253">
        <v>0</v>
      </c>
      <c r="F730" s="253">
        <v>0</v>
      </c>
      <c r="G730" s="253">
        <v>34</v>
      </c>
      <c r="H730" s="253">
        <v>0</v>
      </c>
      <c r="I730" s="253">
        <v>24</v>
      </c>
      <c r="J730" s="253">
        <v>26</v>
      </c>
      <c r="K730" s="252">
        <v>50</v>
      </c>
      <c r="L730" s="252">
        <v>2</v>
      </c>
      <c r="M730" s="253">
        <v>2</v>
      </c>
      <c r="N730" s="255">
        <v>0.4</v>
      </c>
      <c r="O730" s="255">
        <v>0.6</v>
      </c>
      <c r="P730" s="264" t="s">
        <v>1085</v>
      </c>
    </row>
    <row r="731" spans="1:16" ht="15.75" thickBot="1" x14ac:dyDescent="0.3">
      <c r="A731" s="266" t="s">
        <v>1169</v>
      </c>
      <c r="B731" s="267"/>
      <c r="C731" s="267"/>
      <c r="D731" s="267"/>
      <c r="E731" s="268">
        <f>E730+E728+E727+E725+E724+E723+E722+E721+E720+E719+E718+E717+E716+E715+E714+E713</f>
        <v>175</v>
      </c>
      <c r="F731" s="268">
        <f t="shared" ref="F731:M731" si="44">F730+F728+F727+F725+F724+F723+F722+F721+F720+F719+F718+F717+F716+F715+F714+F713</f>
        <v>41</v>
      </c>
      <c r="G731" s="268">
        <f t="shared" si="44"/>
        <v>132</v>
      </c>
      <c r="H731" s="268">
        <f t="shared" si="44"/>
        <v>22</v>
      </c>
      <c r="I731" s="268">
        <f t="shared" si="44"/>
        <v>360</v>
      </c>
      <c r="J731" s="268">
        <f t="shared" si="44"/>
        <v>390</v>
      </c>
      <c r="K731" s="268">
        <f t="shared" si="44"/>
        <v>750</v>
      </c>
      <c r="L731" s="268">
        <f t="shared" si="44"/>
        <v>30</v>
      </c>
      <c r="M731" s="268">
        <f t="shared" si="44"/>
        <v>30</v>
      </c>
      <c r="N731" s="268"/>
      <c r="O731" s="268"/>
      <c r="P731" s="271"/>
    </row>
    <row r="732" spans="1:16" x14ac:dyDescent="0.25">
      <c r="A732" s="804"/>
      <c r="B732" s="828"/>
      <c r="C732" s="274"/>
      <c r="D732" s="275"/>
      <c r="E732" s="276"/>
      <c r="F732" s="276"/>
      <c r="G732" s="276"/>
      <c r="H732" s="276"/>
      <c r="I732" s="276"/>
      <c r="J732" s="276"/>
      <c r="K732" s="276"/>
      <c r="L732" s="276"/>
      <c r="M732" s="276"/>
      <c r="N732" s="274"/>
      <c r="O732" s="274"/>
      <c r="P732" s="276"/>
    </row>
    <row r="733" spans="1:16" x14ac:dyDescent="0.25">
      <c r="A733" s="804"/>
      <c r="B733" s="828"/>
      <c r="C733" s="274"/>
      <c r="D733" s="233" t="s">
        <v>1034</v>
      </c>
      <c r="E733" s="231"/>
      <c r="F733" s="231"/>
      <c r="G733" s="276"/>
      <c r="H733" s="276"/>
      <c r="I733" s="276"/>
      <c r="J733" s="276"/>
      <c r="K733" s="276"/>
      <c r="L733" s="276"/>
      <c r="M733" s="276"/>
      <c r="N733" s="274"/>
      <c r="O733" s="274"/>
      <c r="P733" s="276"/>
    </row>
    <row r="734" spans="1:16" x14ac:dyDescent="0.25">
      <c r="A734" s="231"/>
      <c r="B734" s="229"/>
      <c r="C734" s="229"/>
      <c r="D734" s="233" t="s">
        <v>1086</v>
      </c>
      <c r="E734" s="231"/>
      <c r="F734" s="231"/>
      <c r="G734" s="231"/>
      <c r="H734" s="231"/>
      <c r="I734" s="229"/>
      <c r="J734" s="231"/>
      <c r="K734" s="231"/>
      <c r="L734" s="231"/>
      <c r="M734" s="231"/>
      <c r="N734" s="231"/>
      <c r="O734" s="231"/>
      <c r="P734" s="231"/>
    </row>
    <row r="735" spans="1:16" x14ac:dyDescent="0.25">
      <c r="A735" s="231"/>
      <c r="B735" s="229"/>
      <c r="C735" s="229"/>
      <c r="D735" s="229" t="s">
        <v>1170</v>
      </c>
      <c r="E735" s="231"/>
      <c r="F735" s="231"/>
      <c r="G735" s="231"/>
      <c r="H735" s="231"/>
      <c r="I735" s="229"/>
      <c r="J735" s="231"/>
      <c r="K735" s="231"/>
      <c r="L735" s="231"/>
      <c r="M735" s="231"/>
      <c r="N735" s="231"/>
      <c r="O735" s="231"/>
      <c r="P735" s="231"/>
    </row>
    <row r="736" spans="1:16" ht="15.75" thickBot="1" x14ac:dyDescent="0.3">
      <c r="A736" s="272"/>
      <c r="B736" s="273"/>
      <c r="C736" s="274"/>
      <c r="D736" s="275"/>
      <c r="E736" s="272"/>
      <c r="F736" s="272"/>
      <c r="G736" s="272"/>
      <c r="H736" s="276"/>
      <c r="I736" s="273"/>
      <c r="J736" s="272"/>
      <c r="K736" s="276"/>
      <c r="L736" s="276"/>
      <c r="M736" s="276"/>
      <c r="N736" s="276"/>
      <c r="O736" s="276"/>
      <c r="P736" s="272"/>
    </row>
    <row r="737" spans="1:16" x14ac:dyDescent="0.25">
      <c r="A737" s="277"/>
      <c r="B737" s="278" t="s">
        <v>248</v>
      </c>
      <c r="C737" s="278"/>
      <c r="D737" s="278"/>
      <c r="E737" s="278" t="s">
        <v>249</v>
      </c>
      <c r="F737" s="278"/>
      <c r="G737" s="278"/>
      <c r="H737" s="278"/>
      <c r="I737" s="278"/>
      <c r="J737" s="278"/>
      <c r="K737" s="278"/>
      <c r="L737" s="279" t="s">
        <v>250</v>
      </c>
      <c r="M737" s="280" t="s">
        <v>251</v>
      </c>
      <c r="N737" s="281" t="s">
        <v>11</v>
      </c>
      <c r="O737" s="281"/>
      <c r="P737" s="238" t="s">
        <v>12</v>
      </c>
    </row>
    <row r="738" spans="1:16" ht="24" x14ac:dyDescent="0.25">
      <c r="A738" s="282" t="s">
        <v>252</v>
      </c>
      <c r="B738" s="283" t="s">
        <v>253</v>
      </c>
      <c r="C738" s="284" t="s">
        <v>254</v>
      </c>
      <c r="D738" s="285" t="s">
        <v>16</v>
      </c>
      <c r="E738" s="285" t="s">
        <v>255</v>
      </c>
      <c r="F738" s="285" t="s">
        <v>18</v>
      </c>
      <c r="G738" s="285" t="s">
        <v>19</v>
      </c>
      <c r="H738" s="285" t="s">
        <v>20</v>
      </c>
      <c r="I738" s="286" t="s">
        <v>21</v>
      </c>
      <c r="J738" s="285" t="s">
        <v>22</v>
      </c>
      <c r="K738" s="285" t="s">
        <v>23</v>
      </c>
      <c r="L738" s="287"/>
      <c r="M738" s="288"/>
      <c r="N738" s="817" t="s">
        <v>24</v>
      </c>
      <c r="O738" s="817" t="s">
        <v>25</v>
      </c>
      <c r="P738" s="246"/>
    </row>
    <row r="739" spans="1:16" x14ac:dyDescent="0.25">
      <c r="A739" s="818" t="s">
        <v>406</v>
      </c>
      <c r="B739" s="743"/>
      <c r="C739" s="743"/>
      <c r="D739" s="743"/>
      <c r="E739" s="743"/>
      <c r="F739" s="743"/>
      <c r="G739" s="743"/>
      <c r="H739" s="743"/>
      <c r="I739" s="743"/>
      <c r="J739" s="743"/>
      <c r="K739" s="743"/>
      <c r="L739" s="743"/>
      <c r="M739" s="743"/>
      <c r="N739" s="743"/>
      <c r="O739" s="743"/>
      <c r="P739" s="819"/>
    </row>
    <row r="740" spans="1:16" x14ac:dyDescent="0.25">
      <c r="A740" s="827" t="s">
        <v>1171</v>
      </c>
      <c r="B740" s="729" t="s">
        <v>777</v>
      </c>
      <c r="C740" s="729" t="s">
        <v>1172</v>
      </c>
      <c r="D740" s="729" t="s">
        <v>777</v>
      </c>
      <c r="E740" s="253">
        <v>0</v>
      </c>
      <c r="F740" s="253">
        <v>0</v>
      </c>
      <c r="G740" s="253">
        <v>0</v>
      </c>
      <c r="H740" s="253">
        <v>0</v>
      </c>
      <c r="I740" s="253">
        <v>360</v>
      </c>
      <c r="J740" s="252">
        <f t="shared" ref="J740" si="45">I740+(I740/12)</f>
        <v>390</v>
      </c>
      <c r="K740" s="252">
        <f t="shared" ref="K740" si="46">J740+I740</f>
        <v>750</v>
      </c>
      <c r="L740" s="252">
        <f t="shared" ref="L740" si="47">K740/25</f>
        <v>30</v>
      </c>
      <c r="M740" s="253">
        <v>30</v>
      </c>
      <c r="N740" s="255">
        <v>0.4</v>
      </c>
      <c r="O740" s="255">
        <v>0.6</v>
      </c>
      <c r="P740" s="264" t="s">
        <v>1173</v>
      </c>
    </row>
    <row r="741" spans="1:16" ht="15.75" thickBot="1" x14ac:dyDescent="0.3">
      <c r="A741" s="266" t="s">
        <v>917</v>
      </c>
      <c r="B741" s="267"/>
      <c r="C741" s="267"/>
      <c r="D741" s="267"/>
      <c r="E741" s="268">
        <v>0</v>
      </c>
      <c r="F741" s="268">
        <v>0</v>
      </c>
      <c r="G741" s="268">
        <v>0</v>
      </c>
      <c r="H741" s="268">
        <v>0</v>
      </c>
      <c r="I741" s="268">
        <v>360</v>
      </c>
      <c r="J741" s="268">
        <f>J740</f>
        <v>390</v>
      </c>
      <c r="K741" s="268">
        <f t="shared" ref="K741:M741" si="48">K740</f>
        <v>750</v>
      </c>
      <c r="L741" s="268">
        <f t="shared" si="48"/>
        <v>30</v>
      </c>
      <c r="M741" s="268">
        <f t="shared" si="48"/>
        <v>30</v>
      </c>
      <c r="N741" s="268"/>
      <c r="O741" s="268"/>
      <c r="P741" s="271"/>
    </row>
    <row r="742" spans="1:16" x14ac:dyDescent="0.25">
      <c r="A742" s="804"/>
      <c r="B742" s="828"/>
      <c r="C742" s="274"/>
      <c r="D742" s="275"/>
      <c r="E742" s="276"/>
      <c r="F742" s="276"/>
      <c r="G742" s="276"/>
      <c r="H742" s="276"/>
      <c r="I742" s="276"/>
      <c r="J742" s="276"/>
      <c r="K742" s="276"/>
      <c r="L742" s="276"/>
      <c r="M742" s="276"/>
      <c r="N742" s="274"/>
      <c r="O742" s="274"/>
      <c r="P742" s="276"/>
    </row>
    <row r="743" spans="1:16" x14ac:dyDescent="0.25">
      <c r="A743" s="804"/>
      <c r="B743" s="828"/>
      <c r="C743" s="274"/>
      <c r="D743" s="275"/>
      <c r="E743" s="276"/>
      <c r="F743" s="276"/>
      <c r="G743" s="276"/>
      <c r="H743" s="276"/>
      <c r="I743" s="276"/>
      <c r="J743" s="276"/>
      <c r="K743" s="276"/>
      <c r="L743" s="276"/>
      <c r="M743" s="276"/>
      <c r="N743" s="274"/>
      <c r="O743" s="274"/>
      <c r="P743" s="276"/>
    </row>
    <row r="744" spans="1:16" x14ac:dyDescent="0.25">
      <c r="A744" s="804"/>
      <c r="B744" s="828"/>
      <c r="C744" s="274"/>
      <c r="D744" s="275"/>
      <c r="E744" s="276"/>
      <c r="F744" s="276"/>
      <c r="G744" s="276"/>
      <c r="H744" s="276"/>
      <c r="I744" s="276"/>
      <c r="J744" s="276"/>
      <c r="K744" s="276"/>
      <c r="L744" s="276"/>
      <c r="M744" s="276"/>
      <c r="N744" s="274"/>
      <c r="O744" s="274"/>
      <c r="P744" s="276"/>
    </row>
    <row r="745" spans="1:16" x14ac:dyDescent="0.25">
      <c r="A745" s="804"/>
      <c r="B745" s="828"/>
      <c r="C745" s="274"/>
      <c r="D745" s="275"/>
      <c r="E745" s="276"/>
      <c r="F745" s="276"/>
      <c r="G745" s="276"/>
      <c r="H745" s="276"/>
      <c r="I745" s="276"/>
      <c r="J745" s="276"/>
      <c r="K745" s="276"/>
      <c r="L745" s="276"/>
      <c r="M745" s="276"/>
      <c r="N745" s="274"/>
      <c r="O745" s="274"/>
      <c r="P745" s="276"/>
    </row>
    <row r="746" spans="1:16" x14ac:dyDescent="0.25">
      <c r="A746" s="804"/>
      <c r="B746" s="828"/>
      <c r="C746" s="274"/>
      <c r="D746" s="275"/>
      <c r="E746" s="276"/>
      <c r="F746" s="276"/>
      <c r="G746" s="276"/>
      <c r="H746" s="276"/>
      <c r="I746" s="276"/>
      <c r="J746" s="276"/>
      <c r="K746" s="276"/>
      <c r="L746" s="276"/>
      <c r="M746" s="276"/>
      <c r="N746" s="274"/>
      <c r="O746" s="274"/>
      <c r="P746" s="276"/>
    </row>
    <row r="747" spans="1:16" x14ac:dyDescent="0.25">
      <c r="A747" s="804"/>
      <c r="B747" s="828"/>
      <c r="C747" s="274"/>
      <c r="D747" s="275"/>
      <c r="E747" s="276"/>
      <c r="F747" s="276"/>
      <c r="G747" s="276"/>
      <c r="H747" s="276"/>
      <c r="I747" s="276"/>
      <c r="J747" s="276"/>
      <c r="K747" s="276"/>
      <c r="L747" s="276"/>
      <c r="M747" s="276"/>
      <c r="N747" s="274"/>
      <c r="O747" s="274"/>
      <c r="P747" s="276"/>
    </row>
    <row r="748" spans="1:16" x14ac:dyDescent="0.25">
      <c r="A748" s="804"/>
      <c r="B748" s="828"/>
      <c r="C748" s="274"/>
      <c r="D748" s="275"/>
      <c r="E748" s="276"/>
      <c r="F748" s="276"/>
      <c r="G748" s="276"/>
      <c r="H748" s="276"/>
      <c r="I748" s="276"/>
      <c r="J748" s="276"/>
      <c r="K748" s="276"/>
      <c r="L748" s="276"/>
      <c r="M748" s="276"/>
      <c r="N748" s="274"/>
      <c r="O748" s="274"/>
      <c r="P748" s="276"/>
    </row>
    <row r="749" spans="1:16" x14ac:dyDescent="0.25">
      <c r="A749" s="804"/>
      <c r="B749" s="828"/>
      <c r="C749" s="274"/>
      <c r="D749" s="275"/>
      <c r="E749" s="276"/>
      <c r="F749" s="276"/>
      <c r="G749" s="276"/>
      <c r="H749" s="276"/>
      <c r="I749" s="276"/>
      <c r="J749" s="276"/>
      <c r="K749" s="276"/>
      <c r="L749" s="276"/>
      <c r="M749" s="276"/>
      <c r="N749" s="274"/>
      <c r="O749" s="274"/>
      <c r="P749" s="276"/>
    </row>
    <row r="750" spans="1:16" x14ac:dyDescent="0.25">
      <c r="A750" s="804"/>
      <c r="B750" s="828"/>
      <c r="C750" s="274"/>
      <c r="D750" s="275"/>
      <c r="E750" s="276"/>
      <c r="F750" s="276"/>
      <c r="G750" s="276"/>
      <c r="H750" s="276"/>
      <c r="I750" s="276"/>
      <c r="J750" s="276"/>
      <c r="K750" s="276"/>
      <c r="L750" s="276"/>
      <c r="M750" s="276"/>
      <c r="N750" s="274"/>
      <c r="O750" s="274"/>
      <c r="P750" s="276"/>
    </row>
    <row r="751" spans="1:16" x14ac:dyDescent="0.25">
      <c r="A751" s="804"/>
      <c r="B751" s="828"/>
      <c r="C751" s="274"/>
      <c r="D751" s="275"/>
      <c r="E751" s="276"/>
      <c r="F751" s="276"/>
      <c r="G751" s="276"/>
      <c r="H751" s="276"/>
      <c r="I751" s="276"/>
      <c r="J751" s="276"/>
      <c r="K751" s="276"/>
      <c r="L751" s="276"/>
      <c r="M751" s="276"/>
      <c r="N751" s="274"/>
      <c r="O751" s="274"/>
      <c r="P751" s="276"/>
    </row>
    <row r="752" spans="1:16" x14ac:dyDescent="0.25">
      <c r="A752" s="804"/>
      <c r="B752" s="828"/>
      <c r="C752" s="274"/>
      <c r="D752" s="275"/>
      <c r="E752" s="276"/>
      <c r="F752" s="276"/>
      <c r="G752" s="276"/>
      <c r="H752" s="276"/>
      <c r="I752" s="276"/>
      <c r="J752" s="276"/>
      <c r="K752" s="276"/>
      <c r="L752" s="276"/>
      <c r="M752" s="276"/>
      <c r="N752" s="274"/>
      <c r="O752" s="274"/>
      <c r="P752" s="276"/>
    </row>
    <row r="753" spans="1:16" x14ac:dyDescent="0.25">
      <c r="A753" s="804"/>
      <c r="B753" s="828"/>
      <c r="C753" s="274"/>
      <c r="D753" s="275"/>
      <c r="E753" s="276"/>
      <c r="F753" s="276"/>
      <c r="G753" s="276"/>
      <c r="H753" s="276"/>
      <c r="I753" s="276"/>
      <c r="J753" s="276"/>
      <c r="K753" s="276"/>
      <c r="L753" s="276"/>
      <c r="M753" s="276"/>
      <c r="N753" s="274"/>
      <c r="O753" s="274"/>
      <c r="P753" s="276"/>
    </row>
    <row r="754" spans="1:16" x14ac:dyDescent="0.25">
      <c r="A754" s="804"/>
      <c r="B754" s="828"/>
      <c r="C754" s="274"/>
      <c r="D754" s="275"/>
      <c r="E754" s="276"/>
      <c r="F754" s="276"/>
      <c r="G754" s="276"/>
      <c r="H754" s="276"/>
      <c r="I754" s="276"/>
      <c r="J754" s="276"/>
      <c r="K754" s="276"/>
      <c r="L754" s="276"/>
      <c r="M754" s="276"/>
      <c r="N754" s="274"/>
      <c r="O754" s="274"/>
      <c r="P754" s="276"/>
    </row>
    <row r="755" spans="1:16" x14ac:dyDescent="0.25">
      <c r="A755" s="804"/>
      <c r="B755" s="828"/>
      <c r="C755" s="274"/>
      <c r="D755" s="275"/>
      <c r="E755" s="276"/>
      <c r="F755" s="276"/>
      <c r="G755" s="276"/>
      <c r="H755" s="276"/>
      <c r="I755" s="276"/>
      <c r="J755" s="276"/>
      <c r="K755" s="276"/>
      <c r="L755" s="276"/>
      <c r="M755" s="276"/>
      <c r="N755" s="274"/>
      <c r="O755" s="274"/>
      <c r="P755" s="276"/>
    </row>
    <row r="756" spans="1:16" x14ac:dyDescent="0.25">
      <c r="A756" s="804"/>
      <c r="B756" s="828"/>
      <c r="C756" s="274"/>
      <c r="D756" s="275"/>
      <c r="E756" s="276"/>
      <c r="F756" s="276"/>
      <c r="G756" s="276"/>
      <c r="H756" s="276"/>
      <c r="I756" s="276"/>
      <c r="J756" s="276"/>
      <c r="K756" s="276"/>
      <c r="L756" s="276"/>
      <c r="M756" s="276"/>
      <c r="N756" s="274"/>
      <c r="O756" s="274"/>
      <c r="P756" s="276"/>
    </row>
    <row r="757" spans="1:16" x14ac:dyDescent="0.25">
      <c r="A757" s="804"/>
      <c r="B757" s="828"/>
      <c r="C757" s="274"/>
      <c r="D757" s="275"/>
      <c r="E757" s="276"/>
      <c r="F757" s="276"/>
      <c r="G757" s="276"/>
      <c r="H757" s="276"/>
      <c r="I757" s="276"/>
      <c r="J757" s="276"/>
      <c r="K757" s="276"/>
      <c r="L757" s="276"/>
      <c r="M757" s="276"/>
      <c r="N757" s="274"/>
      <c r="O757" s="274"/>
      <c r="P757" s="276"/>
    </row>
    <row r="758" spans="1:16" x14ac:dyDescent="0.25">
      <c r="A758" s="804"/>
      <c r="B758" s="828"/>
      <c r="C758" s="274"/>
      <c r="D758" s="275"/>
      <c r="E758" s="276"/>
      <c r="F758" s="276"/>
      <c r="G758" s="276"/>
      <c r="H758" s="276"/>
      <c r="I758" s="276"/>
      <c r="J758" s="276"/>
      <c r="K758" s="276"/>
      <c r="L758" s="276"/>
      <c r="M758" s="276"/>
      <c r="N758" s="274"/>
      <c r="O758" s="274"/>
      <c r="P758" s="276"/>
    </row>
    <row r="759" spans="1:16" x14ac:dyDescent="0.25">
      <c r="A759" s="804"/>
      <c r="B759" s="828"/>
      <c r="C759" s="274"/>
      <c r="D759" s="275"/>
      <c r="E759" s="276"/>
      <c r="F759" s="276"/>
      <c r="G759" s="276"/>
      <c r="H759" s="276"/>
      <c r="I759" s="276"/>
      <c r="J759" s="276"/>
      <c r="K759" s="276"/>
      <c r="L759" s="276"/>
      <c r="M759" s="276"/>
      <c r="N759" s="274"/>
      <c r="O759" s="274"/>
      <c r="P759" s="276"/>
    </row>
    <row r="760" spans="1:16" x14ac:dyDescent="0.25">
      <c r="A760" s="804"/>
      <c r="B760" s="828"/>
      <c r="C760" s="274"/>
      <c r="D760" s="275"/>
      <c r="E760" s="276"/>
      <c r="F760" s="276"/>
      <c r="G760" s="276"/>
      <c r="H760" s="276"/>
      <c r="I760" s="276"/>
      <c r="J760" s="276"/>
      <c r="K760" s="276"/>
      <c r="L760" s="276"/>
      <c r="M760" s="276"/>
      <c r="N760" s="274"/>
      <c r="O760" s="274"/>
      <c r="P760" s="276"/>
    </row>
    <row r="761" spans="1:16" x14ac:dyDescent="0.25">
      <c r="A761" s="804"/>
      <c r="B761" s="828"/>
      <c r="C761" s="274"/>
      <c r="D761" s="275"/>
      <c r="E761" s="276"/>
      <c r="F761" s="276"/>
      <c r="G761" s="276"/>
      <c r="H761" s="276"/>
      <c r="I761" s="276"/>
      <c r="J761" s="276"/>
      <c r="K761" s="276"/>
      <c r="L761" s="276"/>
      <c r="M761" s="276"/>
      <c r="N761" s="274"/>
      <c r="O761" s="274"/>
      <c r="P761" s="276"/>
    </row>
    <row r="762" spans="1:16" x14ac:dyDescent="0.25">
      <c r="A762" s="804"/>
      <c r="B762" s="828"/>
      <c r="C762" s="274"/>
      <c r="D762" s="275"/>
      <c r="E762" s="276"/>
      <c r="F762" s="276"/>
      <c r="G762" s="276"/>
      <c r="H762" s="276"/>
      <c r="I762" s="276"/>
      <c r="J762" s="276"/>
      <c r="K762" s="276"/>
      <c r="L762" s="276"/>
      <c r="M762" s="276"/>
      <c r="N762" s="274"/>
      <c r="O762" s="274"/>
      <c r="P762" s="276"/>
    </row>
    <row r="763" spans="1:16" x14ac:dyDescent="0.25">
      <c r="A763" s="804"/>
      <c r="B763" s="828"/>
      <c r="C763" s="274"/>
      <c r="D763" s="275"/>
      <c r="E763" s="276"/>
      <c r="F763" s="276"/>
      <c r="G763" s="276"/>
      <c r="H763" s="276"/>
      <c r="I763" s="276"/>
      <c r="J763" s="276"/>
      <c r="K763" s="276"/>
      <c r="L763" s="276"/>
      <c r="M763" s="276"/>
      <c r="N763" s="274"/>
      <c r="O763" s="274"/>
      <c r="P763" s="276"/>
    </row>
    <row r="764" spans="1:16" x14ac:dyDescent="0.25">
      <c r="A764" s="804"/>
      <c r="B764" s="828"/>
      <c r="C764" s="274"/>
      <c r="D764" s="275"/>
      <c r="E764" s="276"/>
      <c r="F764" s="276"/>
      <c r="G764" s="276"/>
      <c r="H764" s="276"/>
      <c r="I764" s="276"/>
      <c r="J764" s="276"/>
      <c r="K764" s="276"/>
      <c r="L764" s="276"/>
      <c r="M764" s="276"/>
      <c r="N764" s="274"/>
      <c r="O764" s="274"/>
      <c r="P764" s="276"/>
    </row>
    <row r="765" spans="1:16" x14ac:dyDescent="0.25">
      <c r="A765" s="804"/>
      <c r="B765" s="828"/>
      <c r="C765" s="274"/>
      <c r="D765" s="275"/>
      <c r="E765" s="276"/>
      <c r="F765" s="276"/>
      <c r="G765" s="276"/>
      <c r="H765" s="276"/>
      <c r="I765" s="276"/>
      <c r="J765" s="276"/>
      <c r="K765" s="276"/>
      <c r="L765" s="276"/>
      <c r="M765" s="276"/>
      <c r="N765" s="274"/>
      <c r="O765" s="274"/>
      <c r="P765" s="276"/>
    </row>
    <row r="766" spans="1:16" x14ac:dyDescent="0.25">
      <c r="A766" s="804"/>
      <c r="B766" s="828"/>
      <c r="C766" s="274"/>
      <c r="D766" s="275"/>
      <c r="E766" s="276"/>
      <c r="F766" s="276"/>
      <c r="G766" s="276"/>
      <c r="H766" s="276"/>
      <c r="I766" s="276"/>
      <c r="J766" s="276"/>
      <c r="K766" s="276"/>
      <c r="L766" s="276"/>
      <c r="M766" s="276"/>
      <c r="N766" s="274"/>
      <c r="O766" s="274"/>
      <c r="P766" s="276"/>
    </row>
    <row r="767" spans="1:16" x14ac:dyDescent="0.25">
      <c r="A767" s="804"/>
      <c r="B767" s="828"/>
      <c r="C767" s="274"/>
      <c r="D767" s="233" t="s">
        <v>1034</v>
      </c>
      <c r="E767" s="231"/>
      <c r="F767" s="231"/>
      <c r="G767" s="231"/>
      <c r="H767" s="276"/>
      <c r="I767" s="276"/>
      <c r="J767" s="276"/>
      <c r="K767" s="276"/>
      <c r="L767" s="276"/>
      <c r="M767" s="276"/>
      <c r="N767" s="274"/>
      <c r="O767" s="274"/>
      <c r="P767" s="276"/>
    </row>
    <row r="768" spans="1:16" x14ac:dyDescent="0.25">
      <c r="D768" s="233" t="s">
        <v>1174</v>
      </c>
      <c r="E768" s="231"/>
      <c r="F768" s="231"/>
      <c r="G768" s="231"/>
      <c r="P768"/>
    </row>
    <row r="769" spans="1:16" ht="15.75" thickBot="1" x14ac:dyDescent="0.3">
      <c r="A769" s="231"/>
      <c r="B769" s="229"/>
      <c r="C769" s="229"/>
      <c r="D769" s="229" t="s">
        <v>1175</v>
      </c>
      <c r="E769" s="231"/>
      <c r="F769" s="231"/>
      <c r="G769" s="231"/>
      <c r="H769" s="231"/>
      <c r="I769" s="229"/>
      <c r="J769" s="231"/>
      <c r="K769" s="231"/>
      <c r="L769" s="231"/>
      <c r="M769" s="231"/>
      <c r="N769" s="231"/>
      <c r="O769" s="231"/>
      <c r="P769" s="231"/>
    </row>
    <row r="770" spans="1:16" x14ac:dyDescent="0.25">
      <c r="A770" s="829" t="s">
        <v>248</v>
      </c>
      <c r="B770" s="278"/>
      <c r="C770" s="278"/>
      <c r="D770" s="278"/>
      <c r="E770" s="278" t="s">
        <v>249</v>
      </c>
      <c r="F770" s="278"/>
      <c r="G770" s="278"/>
      <c r="H770" s="278"/>
      <c r="I770" s="278"/>
      <c r="J770" s="278"/>
      <c r="K770" s="278"/>
      <c r="L770" s="279" t="s">
        <v>250</v>
      </c>
      <c r="M770" s="280" t="s">
        <v>251</v>
      </c>
      <c r="N770" s="281" t="s">
        <v>11</v>
      </c>
      <c r="O770" s="281"/>
      <c r="P770" s="238" t="s">
        <v>12</v>
      </c>
    </row>
    <row r="771" spans="1:16" ht="24" x14ac:dyDescent="0.25">
      <c r="A771" s="282" t="s">
        <v>252</v>
      </c>
      <c r="B771" s="283" t="s">
        <v>253</v>
      </c>
      <c r="C771" s="284" t="s">
        <v>254</v>
      </c>
      <c r="D771" s="285" t="s">
        <v>16</v>
      </c>
      <c r="E771" s="285" t="s">
        <v>255</v>
      </c>
      <c r="F771" s="285" t="s">
        <v>18</v>
      </c>
      <c r="G771" s="285" t="s">
        <v>19</v>
      </c>
      <c r="H771" s="285" t="s">
        <v>20</v>
      </c>
      <c r="I771" s="286" t="s">
        <v>21</v>
      </c>
      <c r="J771" s="285" t="s">
        <v>22</v>
      </c>
      <c r="K771" s="285" t="s">
        <v>23</v>
      </c>
      <c r="L771" s="287"/>
      <c r="M771" s="288"/>
      <c r="N771" s="817" t="s">
        <v>24</v>
      </c>
      <c r="O771" s="817" t="s">
        <v>25</v>
      </c>
      <c r="P771" s="246"/>
    </row>
    <row r="772" spans="1:16" x14ac:dyDescent="0.25">
      <c r="A772" s="818" t="s">
        <v>26</v>
      </c>
      <c r="B772" s="743"/>
      <c r="C772" s="743"/>
      <c r="D772" s="743"/>
      <c r="E772" s="743"/>
      <c r="F772" s="743"/>
      <c r="G772" s="743"/>
      <c r="H772" s="743"/>
      <c r="I772" s="743"/>
      <c r="J772" s="743"/>
      <c r="K772" s="743"/>
      <c r="L772" s="743"/>
      <c r="M772" s="743"/>
      <c r="N772" s="743"/>
      <c r="O772" s="743"/>
      <c r="P772" s="819"/>
    </row>
    <row r="773" spans="1:16" x14ac:dyDescent="0.25">
      <c r="A773" s="820" t="s">
        <v>1176</v>
      </c>
      <c r="B773" s="825" t="s">
        <v>1177</v>
      </c>
      <c r="C773" s="252" t="s">
        <v>1178</v>
      </c>
      <c r="D773" s="729" t="s">
        <v>1179</v>
      </c>
      <c r="E773" s="252">
        <v>15</v>
      </c>
      <c r="F773" s="252">
        <v>0</v>
      </c>
      <c r="G773" s="252">
        <v>9</v>
      </c>
      <c r="H773" s="252">
        <v>0</v>
      </c>
      <c r="I773" s="252">
        <v>24</v>
      </c>
      <c r="J773" s="252">
        <v>26</v>
      </c>
      <c r="K773" s="252">
        <v>50</v>
      </c>
      <c r="L773" s="252">
        <v>2</v>
      </c>
      <c r="M773" s="254">
        <v>3</v>
      </c>
      <c r="N773" s="255">
        <v>0.4</v>
      </c>
      <c r="O773" s="255">
        <v>0.6</v>
      </c>
      <c r="P773" s="260" t="s">
        <v>1180</v>
      </c>
    </row>
    <row r="774" spans="1:16" x14ac:dyDescent="0.25">
      <c r="A774" s="820"/>
      <c r="B774" s="825"/>
      <c r="C774" s="252" t="s">
        <v>1181</v>
      </c>
      <c r="D774" s="729" t="s">
        <v>1182</v>
      </c>
      <c r="E774" s="252">
        <v>12</v>
      </c>
      <c r="F774" s="252">
        <v>0</v>
      </c>
      <c r="G774" s="252">
        <v>0</v>
      </c>
      <c r="H774" s="252">
        <v>0</v>
      </c>
      <c r="I774" s="252">
        <v>12</v>
      </c>
      <c r="J774" s="252">
        <v>13</v>
      </c>
      <c r="K774" s="252">
        <v>25</v>
      </c>
      <c r="L774" s="252">
        <v>1</v>
      </c>
      <c r="M774" s="254"/>
      <c r="N774" s="255">
        <v>0.4</v>
      </c>
      <c r="O774" s="255">
        <v>0.6</v>
      </c>
      <c r="P774" s="260"/>
    </row>
    <row r="775" spans="1:16" x14ac:dyDescent="0.25">
      <c r="A775" s="818" t="s">
        <v>406</v>
      </c>
      <c r="B775" s="743"/>
      <c r="C775" s="743"/>
      <c r="D775" s="743"/>
      <c r="E775" s="743"/>
      <c r="F775" s="743"/>
      <c r="G775" s="743"/>
      <c r="H775" s="743"/>
      <c r="I775" s="743"/>
      <c r="J775" s="743"/>
      <c r="K775" s="743"/>
      <c r="L775" s="743"/>
      <c r="M775" s="743"/>
      <c r="N775" s="743"/>
      <c r="O775" s="743"/>
      <c r="P775" s="819"/>
    </row>
    <row r="776" spans="1:16" x14ac:dyDescent="0.25">
      <c r="A776" s="822" t="s">
        <v>1098</v>
      </c>
      <c r="B776" s="825" t="s">
        <v>1183</v>
      </c>
      <c r="C776" s="252" t="s">
        <v>1184</v>
      </c>
      <c r="D776" s="830" t="s">
        <v>1185</v>
      </c>
      <c r="E776" s="252">
        <v>12</v>
      </c>
      <c r="F776" s="252"/>
      <c r="G776" s="252"/>
      <c r="H776" s="252">
        <v>12</v>
      </c>
      <c r="I776" s="252">
        <v>24</v>
      </c>
      <c r="J776" s="252">
        <v>26</v>
      </c>
      <c r="K776" s="252">
        <v>50</v>
      </c>
      <c r="L776" s="252">
        <v>2</v>
      </c>
      <c r="M776" s="254">
        <v>5</v>
      </c>
      <c r="N776" s="255">
        <v>0.4</v>
      </c>
      <c r="O776" s="255">
        <v>0.6</v>
      </c>
      <c r="P776" s="260" t="s">
        <v>1186</v>
      </c>
    </row>
    <row r="777" spans="1:16" x14ac:dyDescent="0.25">
      <c r="A777" s="822"/>
      <c r="B777" s="825"/>
      <c r="C777" s="252" t="s">
        <v>1187</v>
      </c>
      <c r="D777" s="830" t="s">
        <v>1188</v>
      </c>
      <c r="E777" s="252">
        <v>12</v>
      </c>
      <c r="F777" s="252"/>
      <c r="G777" s="252"/>
      <c r="H777" s="252">
        <v>12</v>
      </c>
      <c r="I777" s="252">
        <v>24</v>
      </c>
      <c r="J777" s="252">
        <v>26</v>
      </c>
      <c r="K777" s="252">
        <v>50</v>
      </c>
      <c r="L777" s="252">
        <v>2</v>
      </c>
      <c r="M777" s="254"/>
      <c r="N777" s="255">
        <v>0.4</v>
      </c>
      <c r="O777" s="255">
        <v>0.6</v>
      </c>
      <c r="P777" s="260"/>
    </row>
    <row r="778" spans="1:16" x14ac:dyDescent="0.25">
      <c r="A778" s="822"/>
      <c r="B778" s="825"/>
      <c r="C778" s="252" t="s">
        <v>1189</v>
      </c>
      <c r="D778" s="830" t="s">
        <v>1190</v>
      </c>
      <c r="E778" s="252">
        <v>8</v>
      </c>
      <c r="F778" s="252"/>
      <c r="G778" s="252">
        <v>4</v>
      </c>
      <c r="H778" s="252">
        <v>0</v>
      </c>
      <c r="I778" s="252">
        <v>12</v>
      </c>
      <c r="J778" s="252">
        <v>13</v>
      </c>
      <c r="K778" s="252">
        <v>25</v>
      </c>
      <c r="L778" s="252">
        <v>1</v>
      </c>
      <c r="M778" s="254"/>
      <c r="N778" s="255">
        <v>0.4</v>
      </c>
      <c r="O778" s="255">
        <v>0.6</v>
      </c>
      <c r="P778" s="260"/>
    </row>
    <row r="779" spans="1:16" x14ac:dyDescent="0.25">
      <c r="A779" s="822" t="s">
        <v>1191</v>
      </c>
      <c r="B779" s="251" t="s">
        <v>1192</v>
      </c>
      <c r="C779" s="252" t="s">
        <v>1193</v>
      </c>
      <c r="D779" s="253" t="s">
        <v>1194</v>
      </c>
      <c r="E779" s="252">
        <v>15</v>
      </c>
      <c r="F779" s="252"/>
      <c r="G779" s="252">
        <v>9</v>
      </c>
      <c r="H779" s="252"/>
      <c r="I779" s="252">
        <v>24</v>
      </c>
      <c r="J779" s="252">
        <v>26</v>
      </c>
      <c r="K779" s="252">
        <v>50</v>
      </c>
      <c r="L779" s="252">
        <v>2</v>
      </c>
      <c r="M779" s="254">
        <v>4</v>
      </c>
      <c r="N779" s="255">
        <v>0.4</v>
      </c>
      <c r="O779" s="255">
        <v>0.6</v>
      </c>
      <c r="P779" s="260" t="s">
        <v>1110</v>
      </c>
    </row>
    <row r="780" spans="1:16" ht="36" x14ac:dyDescent="0.25">
      <c r="A780" s="822"/>
      <c r="B780" s="251"/>
      <c r="C780" s="252" t="s">
        <v>1195</v>
      </c>
      <c r="D780" s="253" t="s">
        <v>1196</v>
      </c>
      <c r="E780" s="252">
        <v>15</v>
      </c>
      <c r="F780" s="252"/>
      <c r="G780" s="252">
        <v>9</v>
      </c>
      <c r="H780" s="252"/>
      <c r="I780" s="252">
        <v>24</v>
      </c>
      <c r="J780" s="252">
        <v>26</v>
      </c>
      <c r="K780" s="252">
        <v>50</v>
      </c>
      <c r="L780" s="252">
        <v>2</v>
      </c>
      <c r="M780" s="254"/>
      <c r="N780" s="255">
        <v>0.4</v>
      </c>
      <c r="O780" s="255">
        <v>0.6</v>
      </c>
      <c r="P780" s="260"/>
    </row>
    <row r="781" spans="1:16" ht="24.75" x14ac:dyDescent="0.25">
      <c r="A781" s="826" t="s">
        <v>1197</v>
      </c>
      <c r="B781" s="646" t="s">
        <v>1198</v>
      </c>
      <c r="C781" s="252" t="s">
        <v>1197</v>
      </c>
      <c r="D781" s="646" t="s">
        <v>1199</v>
      </c>
      <c r="E781" s="252">
        <v>9</v>
      </c>
      <c r="F781" s="252">
        <v>0</v>
      </c>
      <c r="G781" s="252">
        <v>15</v>
      </c>
      <c r="H781" s="252">
        <v>0</v>
      </c>
      <c r="I781" s="252">
        <v>24</v>
      </c>
      <c r="J781" s="252">
        <v>26</v>
      </c>
      <c r="K781" s="252">
        <v>50</v>
      </c>
      <c r="L781" s="252">
        <v>2</v>
      </c>
      <c r="M781" s="252">
        <v>2</v>
      </c>
      <c r="N781" s="255">
        <v>0.4</v>
      </c>
      <c r="O781" s="255">
        <v>0.6</v>
      </c>
      <c r="P781" s="256" t="s">
        <v>1200</v>
      </c>
    </row>
    <row r="782" spans="1:16" ht="24.75" x14ac:dyDescent="0.25">
      <c r="A782" s="827" t="s">
        <v>1201</v>
      </c>
      <c r="B782" s="821" t="s">
        <v>1202</v>
      </c>
      <c r="C782" s="252" t="s">
        <v>1201</v>
      </c>
      <c r="D782" s="646" t="s">
        <v>1203</v>
      </c>
      <c r="E782" s="252">
        <v>9</v>
      </c>
      <c r="F782" s="252">
        <v>0</v>
      </c>
      <c r="G782" s="252">
        <v>15</v>
      </c>
      <c r="H782" s="252">
        <v>0</v>
      </c>
      <c r="I782" s="252">
        <v>24</v>
      </c>
      <c r="J782" s="252">
        <v>26</v>
      </c>
      <c r="K782" s="252">
        <v>50</v>
      </c>
      <c r="L782" s="252">
        <v>2</v>
      </c>
      <c r="M782" s="252">
        <v>2</v>
      </c>
      <c r="N782" s="255">
        <v>0.4</v>
      </c>
      <c r="O782" s="255">
        <v>0.6</v>
      </c>
      <c r="P782" s="256" t="s">
        <v>1200</v>
      </c>
    </row>
    <row r="783" spans="1:16" ht="24" x14ac:dyDescent="0.25">
      <c r="A783" s="826" t="s">
        <v>1113</v>
      </c>
      <c r="B783" s="253" t="s">
        <v>1114</v>
      </c>
      <c r="C783" s="252" t="s">
        <v>1113</v>
      </c>
      <c r="D783" s="253" t="s">
        <v>1114</v>
      </c>
      <c r="E783" s="252">
        <v>120</v>
      </c>
      <c r="F783" s="252">
        <v>0</v>
      </c>
      <c r="G783" s="252">
        <v>0</v>
      </c>
      <c r="H783" s="252">
        <v>0</v>
      </c>
      <c r="I783" s="252">
        <v>120</v>
      </c>
      <c r="J783" s="252">
        <v>130</v>
      </c>
      <c r="K783" s="252">
        <v>250</v>
      </c>
      <c r="L783" s="252">
        <v>10</v>
      </c>
      <c r="M783" s="252">
        <v>10</v>
      </c>
      <c r="N783" s="255">
        <v>0.4</v>
      </c>
      <c r="O783" s="255">
        <v>0.6</v>
      </c>
      <c r="P783" s="256" t="s">
        <v>1062</v>
      </c>
    </row>
    <row r="784" spans="1:16" x14ac:dyDescent="0.25">
      <c r="A784" s="818" t="s">
        <v>62</v>
      </c>
      <c r="B784" s="743"/>
      <c r="C784" s="743"/>
      <c r="D784" s="743"/>
      <c r="E784" s="743"/>
      <c r="F784" s="743"/>
      <c r="G784" s="743"/>
      <c r="H784" s="743"/>
      <c r="I784" s="743"/>
      <c r="J784" s="743"/>
      <c r="K784" s="743"/>
      <c r="L784" s="743"/>
      <c r="M784" s="743"/>
      <c r="N784" s="743"/>
      <c r="O784" s="743"/>
      <c r="P784" s="819"/>
    </row>
    <row r="785" spans="1:16" ht="24" x14ac:dyDescent="0.25">
      <c r="A785" s="826" t="s">
        <v>1204</v>
      </c>
      <c r="B785" s="821" t="s">
        <v>1205</v>
      </c>
      <c r="C785" s="252" t="s">
        <v>1204</v>
      </c>
      <c r="D785" s="821" t="s">
        <v>1206</v>
      </c>
      <c r="E785" s="252">
        <v>12</v>
      </c>
      <c r="F785" s="252">
        <v>12</v>
      </c>
      <c r="G785" s="252">
        <v>0</v>
      </c>
      <c r="H785" s="252">
        <v>0</v>
      </c>
      <c r="I785" s="252">
        <v>24</v>
      </c>
      <c r="J785" s="252">
        <v>26</v>
      </c>
      <c r="K785" s="252">
        <v>50</v>
      </c>
      <c r="L785" s="252">
        <v>2</v>
      </c>
      <c r="M785" s="252">
        <v>2</v>
      </c>
      <c r="N785" s="255">
        <v>0.4</v>
      </c>
      <c r="O785" s="255">
        <v>0.6</v>
      </c>
      <c r="P785" s="256" t="s">
        <v>1200</v>
      </c>
    </row>
    <row r="786" spans="1:16" x14ac:dyDescent="0.25">
      <c r="A786" s="822" t="s">
        <v>1207</v>
      </c>
      <c r="B786" s="834" t="s">
        <v>1208</v>
      </c>
      <c r="C786" s="253" t="s">
        <v>1209</v>
      </c>
      <c r="D786" s="729" t="s">
        <v>1210</v>
      </c>
      <c r="E786" s="253">
        <v>8</v>
      </c>
      <c r="F786" s="253">
        <v>0</v>
      </c>
      <c r="G786" s="253">
        <v>0</v>
      </c>
      <c r="H786" s="253">
        <v>4</v>
      </c>
      <c r="I786" s="253">
        <v>12</v>
      </c>
      <c r="J786" s="253">
        <v>13</v>
      </c>
      <c r="K786" s="253">
        <v>25</v>
      </c>
      <c r="L786" s="253">
        <v>1</v>
      </c>
      <c r="M786" s="251">
        <v>2</v>
      </c>
      <c r="N786" s="255">
        <v>0.4</v>
      </c>
      <c r="O786" s="255">
        <v>0.6</v>
      </c>
      <c r="P786" s="260" t="s">
        <v>1211</v>
      </c>
    </row>
    <row r="787" spans="1:16" ht="36.75" x14ac:dyDescent="0.25">
      <c r="A787" s="822"/>
      <c r="B787" s="834"/>
      <c r="C787" s="253" t="s">
        <v>1212</v>
      </c>
      <c r="D787" s="729" t="s">
        <v>1213</v>
      </c>
      <c r="E787" s="253">
        <v>8</v>
      </c>
      <c r="F787" s="253">
        <v>0</v>
      </c>
      <c r="G787" s="253">
        <v>0</v>
      </c>
      <c r="H787" s="253">
        <v>4</v>
      </c>
      <c r="I787" s="253">
        <v>12</v>
      </c>
      <c r="J787" s="253">
        <v>13</v>
      </c>
      <c r="K787" s="253">
        <v>25</v>
      </c>
      <c r="L787" s="253">
        <v>1</v>
      </c>
      <c r="M787" s="251"/>
      <c r="N787" s="255">
        <v>0.4</v>
      </c>
      <c r="O787" s="255">
        <v>0.6</v>
      </c>
      <c r="P787" s="260"/>
    </row>
    <row r="788" spans="1:16" ht="15.75" thickBot="1" x14ac:dyDescent="0.3">
      <c r="A788" s="266" t="s">
        <v>719</v>
      </c>
      <c r="B788" s="267"/>
      <c r="C788" s="267"/>
      <c r="D788" s="267"/>
      <c r="E788" s="268">
        <v>255</v>
      </c>
      <c r="F788" s="268">
        <v>12</v>
      </c>
      <c r="G788" s="268">
        <v>61</v>
      </c>
      <c r="H788" s="268">
        <v>32</v>
      </c>
      <c r="I788" s="268">
        <v>360</v>
      </c>
      <c r="J788" s="268">
        <v>390</v>
      </c>
      <c r="K788" s="268">
        <v>750</v>
      </c>
      <c r="L788" s="268">
        <v>30</v>
      </c>
      <c r="M788" s="268">
        <v>30</v>
      </c>
      <c r="N788" s="268"/>
      <c r="O788" s="268"/>
      <c r="P788" s="271"/>
    </row>
    <row r="789" spans="1:16" x14ac:dyDescent="0.25">
      <c r="P789"/>
    </row>
    <row r="790" spans="1:16" x14ac:dyDescent="0.25">
      <c r="P790"/>
    </row>
    <row r="791" spans="1:16" x14ac:dyDescent="0.25">
      <c r="P791"/>
    </row>
    <row r="792" spans="1:16" x14ac:dyDescent="0.25">
      <c r="A792" s="231"/>
      <c r="B792" s="229"/>
      <c r="C792" s="229"/>
      <c r="D792" s="233" t="s">
        <v>1034</v>
      </c>
      <c r="E792" s="231"/>
      <c r="F792" s="231"/>
      <c r="G792" s="231"/>
      <c r="H792" s="231"/>
      <c r="I792" s="229"/>
      <c r="J792" s="231"/>
      <c r="K792" s="231"/>
      <c r="L792" s="231"/>
      <c r="M792" s="231"/>
      <c r="N792" s="231"/>
      <c r="O792" s="231"/>
      <c r="P792" s="231"/>
    </row>
    <row r="793" spans="1:16" x14ac:dyDescent="0.25">
      <c r="A793" s="231"/>
      <c r="B793" s="229"/>
      <c r="C793" s="229"/>
      <c r="D793" s="233" t="s">
        <v>1174</v>
      </c>
      <c r="E793" s="231"/>
      <c r="F793" s="231"/>
      <c r="G793" s="231"/>
      <c r="H793" s="231"/>
      <c r="I793" s="229"/>
      <c r="J793" s="231"/>
      <c r="K793" s="231"/>
      <c r="L793" s="231"/>
      <c r="M793" s="231"/>
      <c r="N793" s="231"/>
      <c r="O793" s="231"/>
      <c r="P793" s="231"/>
    </row>
    <row r="794" spans="1:16" ht="15.75" thickBot="1" x14ac:dyDescent="0.3">
      <c r="A794" s="231"/>
      <c r="B794" s="229"/>
      <c r="C794" s="229"/>
      <c r="D794" s="229" t="s">
        <v>1214</v>
      </c>
      <c r="E794" s="231"/>
      <c r="F794" s="231"/>
      <c r="G794" s="231"/>
      <c r="H794" s="231"/>
      <c r="I794" s="229"/>
      <c r="J794" s="231"/>
      <c r="K794" s="231"/>
      <c r="L794" s="231"/>
      <c r="M794" s="231"/>
      <c r="N794" s="231"/>
      <c r="O794" s="231"/>
      <c r="P794" s="231"/>
    </row>
    <row r="795" spans="1:16" x14ac:dyDescent="0.25">
      <c r="A795" s="829" t="s">
        <v>248</v>
      </c>
      <c r="B795" s="278"/>
      <c r="C795" s="278"/>
      <c r="D795" s="278"/>
      <c r="E795" s="278" t="s">
        <v>249</v>
      </c>
      <c r="F795" s="278"/>
      <c r="G795" s="278"/>
      <c r="H795" s="278"/>
      <c r="I795" s="278"/>
      <c r="J795" s="278"/>
      <c r="K795" s="278"/>
      <c r="L795" s="279" t="s">
        <v>250</v>
      </c>
      <c r="M795" s="280" t="s">
        <v>251</v>
      </c>
      <c r="N795" s="281" t="s">
        <v>11</v>
      </c>
      <c r="O795" s="281"/>
      <c r="P795" s="238" t="s">
        <v>12</v>
      </c>
    </row>
    <row r="796" spans="1:16" ht="24" x14ac:dyDescent="0.25">
      <c r="A796" s="282" t="s">
        <v>252</v>
      </c>
      <c r="B796" s="283" t="s">
        <v>253</v>
      </c>
      <c r="C796" s="284" t="s">
        <v>254</v>
      </c>
      <c r="D796" s="285" t="s">
        <v>16</v>
      </c>
      <c r="E796" s="285" t="s">
        <v>255</v>
      </c>
      <c r="F796" s="285" t="s">
        <v>18</v>
      </c>
      <c r="G796" s="285" t="s">
        <v>19</v>
      </c>
      <c r="H796" s="285" t="s">
        <v>20</v>
      </c>
      <c r="I796" s="286" t="s">
        <v>21</v>
      </c>
      <c r="J796" s="285" t="s">
        <v>22</v>
      </c>
      <c r="K796" s="285" t="s">
        <v>23</v>
      </c>
      <c r="L796" s="287"/>
      <c r="M796" s="288"/>
      <c r="N796" s="817" t="s">
        <v>24</v>
      </c>
      <c r="O796" s="817" t="s">
        <v>25</v>
      </c>
      <c r="P796" s="246"/>
    </row>
    <row r="797" spans="1:16" x14ac:dyDescent="0.25">
      <c r="A797" s="818" t="s">
        <v>406</v>
      </c>
      <c r="B797" s="743"/>
      <c r="C797" s="743"/>
      <c r="D797" s="743"/>
      <c r="E797" s="743"/>
      <c r="F797" s="743"/>
      <c r="G797" s="743"/>
      <c r="H797" s="743"/>
      <c r="I797" s="743"/>
      <c r="J797" s="743"/>
      <c r="K797" s="743"/>
      <c r="L797" s="743"/>
      <c r="M797" s="743"/>
      <c r="N797" s="743"/>
      <c r="O797" s="743"/>
      <c r="P797" s="819"/>
    </row>
    <row r="798" spans="1:16" ht="15.75" thickBot="1" x14ac:dyDescent="0.3">
      <c r="A798" s="820" t="s">
        <v>1215</v>
      </c>
      <c r="B798" s="825" t="s">
        <v>1216</v>
      </c>
      <c r="C798" s="253" t="s">
        <v>1217</v>
      </c>
      <c r="D798" s="835" t="s">
        <v>1218</v>
      </c>
      <c r="E798" s="253">
        <v>10</v>
      </c>
      <c r="F798" s="253">
        <v>14</v>
      </c>
      <c r="G798" s="253">
        <v>0</v>
      </c>
      <c r="H798" s="253">
        <v>0</v>
      </c>
      <c r="I798" s="252">
        <v>24</v>
      </c>
      <c r="J798" s="252">
        <v>26</v>
      </c>
      <c r="K798" s="252">
        <v>50</v>
      </c>
      <c r="L798" s="252">
        <v>2</v>
      </c>
      <c r="M798" s="254">
        <v>6</v>
      </c>
      <c r="N798" s="255">
        <v>0.4</v>
      </c>
      <c r="O798" s="255">
        <v>0.6</v>
      </c>
      <c r="P798" s="260" t="s">
        <v>1186</v>
      </c>
    </row>
    <row r="799" spans="1:16" ht="29.25" thickBot="1" x14ac:dyDescent="0.3">
      <c r="A799" s="820"/>
      <c r="B799" s="825"/>
      <c r="C799" s="253" t="s">
        <v>1219</v>
      </c>
      <c r="D799" s="835" t="s">
        <v>1220</v>
      </c>
      <c r="E799" s="253">
        <v>10</v>
      </c>
      <c r="F799" s="253">
        <v>0</v>
      </c>
      <c r="G799" s="253">
        <v>10</v>
      </c>
      <c r="H799" s="253">
        <v>4</v>
      </c>
      <c r="I799" s="252">
        <v>24</v>
      </c>
      <c r="J799" s="252">
        <v>26</v>
      </c>
      <c r="K799" s="252">
        <v>50</v>
      </c>
      <c r="L799" s="252">
        <v>2</v>
      </c>
      <c r="M799" s="254"/>
      <c r="N799" s="255">
        <v>0.4</v>
      </c>
      <c r="O799" s="255">
        <v>0.6</v>
      </c>
      <c r="P799" s="260"/>
    </row>
    <row r="800" spans="1:16" ht="24.75" thickBot="1" x14ac:dyDescent="0.3">
      <c r="A800" s="820"/>
      <c r="B800" s="825"/>
      <c r="C800" s="253" t="s">
        <v>1221</v>
      </c>
      <c r="D800" s="835" t="s">
        <v>1222</v>
      </c>
      <c r="E800" s="253">
        <v>10</v>
      </c>
      <c r="F800" s="253">
        <v>0</v>
      </c>
      <c r="G800" s="253">
        <v>10</v>
      </c>
      <c r="H800" s="253">
        <v>4</v>
      </c>
      <c r="I800" s="252">
        <v>24</v>
      </c>
      <c r="J800" s="252">
        <v>26</v>
      </c>
      <c r="K800" s="252">
        <v>50</v>
      </c>
      <c r="L800" s="252">
        <v>2</v>
      </c>
      <c r="M800" s="254"/>
      <c r="N800" s="255">
        <v>0.4</v>
      </c>
      <c r="O800" s="255">
        <v>0.6</v>
      </c>
      <c r="P800" s="260"/>
    </row>
    <row r="801" spans="1:16" ht="29.25" thickBot="1" x14ac:dyDescent="0.3">
      <c r="A801" s="822" t="s">
        <v>1223</v>
      </c>
      <c r="B801" s="825" t="s">
        <v>1224</v>
      </c>
      <c r="C801" s="252" t="s">
        <v>1225</v>
      </c>
      <c r="D801" s="836" t="s">
        <v>1226</v>
      </c>
      <c r="E801" s="252">
        <v>12</v>
      </c>
      <c r="F801" s="252">
        <v>0</v>
      </c>
      <c r="G801" s="252">
        <v>24</v>
      </c>
      <c r="H801" s="252">
        <v>0</v>
      </c>
      <c r="I801" s="252">
        <v>36</v>
      </c>
      <c r="J801" s="252">
        <v>39</v>
      </c>
      <c r="K801" s="252">
        <v>75</v>
      </c>
      <c r="L801" s="252">
        <v>3</v>
      </c>
      <c r="M801" s="254">
        <v>6</v>
      </c>
      <c r="N801" s="255">
        <v>0.4</v>
      </c>
      <c r="O801" s="255">
        <v>0.6</v>
      </c>
      <c r="P801" s="260" t="s">
        <v>1124</v>
      </c>
    </row>
    <row r="802" spans="1:16" ht="15.75" thickBot="1" x14ac:dyDescent="0.3">
      <c r="A802" s="822"/>
      <c r="B802" s="825"/>
      <c r="C802" s="252" t="s">
        <v>1227</v>
      </c>
      <c r="D802" s="837" t="s">
        <v>1228</v>
      </c>
      <c r="E802" s="252">
        <v>12</v>
      </c>
      <c r="F802" s="252">
        <v>0</v>
      </c>
      <c r="G802" s="252">
        <v>24</v>
      </c>
      <c r="H802" s="252">
        <v>0</v>
      </c>
      <c r="I802" s="252">
        <v>36</v>
      </c>
      <c r="J802" s="252">
        <v>39</v>
      </c>
      <c r="K802" s="252">
        <v>75</v>
      </c>
      <c r="L802" s="252">
        <v>3</v>
      </c>
      <c r="M802" s="254"/>
      <c r="N802" s="255">
        <v>0.4</v>
      </c>
      <c r="O802" s="255">
        <v>0.6</v>
      </c>
      <c r="P802" s="260"/>
    </row>
    <row r="803" spans="1:16" x14ac:dyDescent="0.25">
      <c r="A803" s="822" t="s">
        <v>1140</v>
      </c>
      <c r="B803" s="737" t="s">
        <v>1229</v>
      </c>
      <c r="C803" s="252" t="s">
        <v>1230</v>
      </c>
      <c r="D803" s="738" t="s">
        <v>1231</v>
      </c>
      <c r="E803" s="252">
        <v>8</v>
      </c>
      <c r="F803" s="252">
        <v>0</v>
      </c>
      <c r="G803" s="252">
        <v>12</v>
      </c>
      <c r="H803" s="252">
        <v>4</v>
      </c>
      <c r="I803" s="252">
        <v>24</v>
      </c>
      <c r="J803" s="252">
        <v>26</v>
      </c>
      <c r="K803" s="252">
        <v>50</v>
      </c>
      <c r="L803" s="252">
        <v>2</v>
      </c>
      <c r="M803" s="254">
        <v>6</v>
      </c>
      <c r="N803" s="255">
        <v>0.4</v>
      </c>
      <c r="O803" s="255">
        <v>0.6</v>
      </c>
      <c r="P803" s="260" t="s">
        <v>1232</v>
      </c>
    </row>
    <row r="804" spans="1:16" x14ac:dyDescent="0.25">
      <c r="A804" s="833"/>
      <c r="B804" s="838"/>
      <c r="C804" s="252" t="s">
        <v>1157</v>
      </c>
      <c r="D804" s="729" t="s">
        <v>1158</v>
      </c>
      <c r="E804" s="252">
        <v>10</v>
      </c>
      <c r="F804" s="252">
        <v>0</v>
      </c>
      <c r="G804" s="252">
        <v>0</v>
      </c>
      <c r="H804" s="252">
        <v>14</v>
      </c>
      <c r="I804" s="252">
        <v>24</v>
      </c>
      <c r="J804" s="252">
        <v>26</v>
      </c>
      <c r="K804" s="252">
        <v>50</v>
      </c>
      <c r="L804" s="252">
        <v>2</v>
      </c>
      <c r="M804" s="254"/>
      <c r="N804" s="255">
        <v>0.4</v>
      </c>
      <c r="O804" s="255">
        <v>0.6</v>
      </c>
      <c r="P804" s="260"/>
    </row>
    <row r="805" spans="1:16" x14ac:dyDescent="0.25">
      <c r="A805" s="833"/>
      <c r="B805" s="733"/>
      <c r="C805" s="252" t="s">
        <v>1159</v>
      </c>
      <c r="D805" s="729" t="s">
        <v>1160</v>
      </c>
      <c r="E805" s="252">
        <v>9</v>
      </c>
      <c r="F805" s="252">
        <v>15</v>
      </c>
      <c r="G805" s="252">
        <v>0</v>
      </c>
      <c r="H805" s="252">
        <v>0</v>
      </c>
      <c r="I805" s="252">
        <v>24</v>
      </c>
      <c r="J805" s="252">
        <v>26</v>
      </c>
      <c r="K805" s="252">
        <v>50</v>
      </c>
      <c r="L805" s="252">
        <v>2</v>
      </c>
      <c r="M805" s="254"/>
      <c r="N805" s="255">
        <v>0.4</v>
      </c>
      <c r="O805" s="255">
        <v>0.6</v>
      </c>
      <c r="P805" s="260"/>
    </row>
    <row r="806" spans="1:16" ht="36" x14ac:dyDescent="0.25">
      <c r="A806" s="826" t="s">
        <v>1233</v>
      </c>
      <c r="B806" s="821" t="s">
        <v>1234</v>
      </c>
      <c r="C806" s="252" t="s">
        <v>1235</v>
      </c>
      <c r="D806" s="821" t="s">
        <v>1236</v>
      </c>
      <c r="E806" s="252">
        <v>8</v>
      </c>
      <c r="F806" s="252">
        <v>0</v>
      </c>
      <c r="G806" s="252">
        <v>16</v>
      </c>
      <c r="H806" s="252">
        <v>0</v>
      </c>
      <c r="I806" s="252">
        <v>24</v>
      </c>
      <c r="J806" s="252">
        <v>26</v>
      </c>
      <c r="K806" s="252">
        <v>50</v>
      </c>
      <c r="L806" s="252">
        <v>2</v>
      </c>
      <c r="M806" s="252">
        <v>2</v>
      </c>
      <c r="N806" s="255">
        <v>0.4</v>
      </c>
      <c r="O806" s="255">
        <v>0.6</v>
      </c>
      <c r="P806" s="256" t="s">
        <v>1237</v>
      </c>
    </row>
    <row r="807" spans="1:16" ht="24" x14ac:dyDescent="0.25">
      <c r="A807" s="833" t="s">
        <v>1238</v>
      </c>
      <c r="B807" s="251" t="s">
        <v>1239</v>
      </c>
      <c r="C807" s="252" t="s">
        <v>1240</v>
      </c>
      <c r="D807" s="821" t="s">
        <v>1241</v>
      </c>
      <c r="E807" s="252">
        <v>8</v>
      </c>
      <c r="F807" s="252">
        <v>0</v>
      </c>
      <c r="G807" s="252">
        <v>12</v>
      </c>
      <c r="H807" s="252">
        <v>4</v>
      </c>
      <c r="I807" s="252">
        <v>24</v>
      </c>
      <c r="J807" s="252">
        <v>26</v>
      </c>
      <c r="K807" s="252">
        <v>50</v>
      </c>
      <c r="L807" s="252">
        <v>2</v>
      </c>
      <c r="M807" s="254">
        <v>6</v>
      </c>
      <c r="N807" s="255">
        <v>0.4</v>
      </c>
      <c r="O807" s="255">
        <v>0.6</v>
      </c>
      <c r="P807" s="260" t="s">
        <v>1211</v>
      </c>
    </row>
    <row r="808" spans="1:16" x14ac:dyDescent="0.25">
      <c r="A808" s="833"/>
      <c r="B808" s="251"/>
      <c r="C808" s="252" t="s">
        <v>1242</v>
      </c>
      <c r="D808" s="821" t="s">
        <v>1243</v>
      </c>
      <c r="E808" s="252">
        <v>8</v>
      </c>
      <c r="F808" s="252">
        <v>0</v>
      </c>
      <c r="G808" s="252">
        <v>12</v>
      </c>
      <c r="H808" s="252">
        <v>4</v>
      </c>
      <c r="I808" s="252">
        <v>24</v>
      </c>
      <c r="J808" s="252">
        <v>26</v>
      </c>
      <c r="K808" s="252">
        <v>50</v>
      </c>
      <c r="L808" s="252">
        <v>2</v>
      </c>
      <c r="M808" s="254"/>
      <c r="N808" s="255">
        <v>0.4</v>
      </c>
      <c r="O808" s="255">
        <v>0.6</v>
      </c>
      <c r="P808" s="260"/>
    </row>
    <row r="809" spans="1:16" ht="24" x14ac:dyDescent="0.25">
      <c r="A809" s="833"/>
      <c r="B809" s="251"/>
      <c r="C809" s="252" t="s">
        <v>1244</v>
      </c>
      <c r="D809" s="821" t="s">
        <v>1245</v>
      </c>
      <c r="E809" s="252">
        <v>8</v>
      </c>
      <c r="F809" s="252">
        <v>0</v>
      </c>
      <c r="G809" s="252">
        <v>12</v>
      </c>
      <c r="H809" s="252">
        <v>4</v>
      </c>
      <c r="I809" s="252">
        <v>24</v>
      </c>
      <c r="J809" s="252">
        <v>26</v>
      </c>
      <c r="K809" s="252">
        <v>50</v>
      </c>
      <c r="L809" s="252">
        <v>2</v>
      </c>
      <c r="M809" s="254"/>
      <c r="N809" s="255">
        <v>0.4</v>
      </c>
      <c r="O809" s="255">
        <v>0.6</v>
      </c>
      <c r="P809" s="260"/>
    </row>
    <row r="810" spans="1:16" x14ac:dyDescent="0.25">
      <c r="A810" s="818" t="s">
        <v>62</v>
      </c>
      <c r="B810" s="743"/>
      <c r="C810" s="743"/>
      <c r="D810" s="743"/>
      <c r="E810" s="743"/>
      <c r="F810" s="743"/>
      <c r="G810" s="743"/>
      <c r="H810" s="743"/>
      <c r="I810" s="743"/>
      <c r="J810" s="743"/>
      <c r="K810" s="743"/>
      <c r="L810" s="743"/>
      <c r="M810" s="743"/>
      <c r="N810" s="743"/>
      <c r="O810" s="743"/>
      <c r="P810" s="819"/>
    </row>
    <row r="811" spans="1:16" x14ac:dyDescent="0.25">
      <c r="A811" s="737" t="s">
        <v>1246</v>
      </c>
      <c r="B811" s="839" t="s">
        <v>1247</v>
      </c>
      <c r="C811" s="252" t="s">
        <v>1248</v>
      </c>
      <c r="D811" s="821" t="s">
        <v>1249</v>
      </c>
      <c r="E811" s="252">
        <v>0</v>
      </c>
      <c r="F811" s="252">
        <v>12</v>
      </c>
      <c r="G811" s="252">
        <v>0</v>
      </c>
      <c r="H811" s="252">
        <v>0</v>
      </c>
      <c r="I811" s="252">
        <v>12</v>
      </c>
      <c r="J811" s="252">
        <v>13</v>
      </c>
      <c r="K811" s="252">
        <v>25</v>
      </c>
      <c r="L811" s="252">
        <v>1</v>
      </c>
      <c r="M811" s="752"/>
      <c r="N811" s="255">
        <v>0.4</v>
      </c>
      <c r="O811" s="255">
        <v>0.6</v>
      </c>
      <c r="P811" s="251" t="s">
        <v>125</v>
      </c>
    </row>
    <row r="812" spans="1:16" x14ac:dyDescent="0.25">
      <c r="A812" s="733"/>
      <c r="B812" s="840"/>
      <c r="C812" s="252" t="s">
        <v>1250</v>
      </c>
      <c r="D812" s="646" t="s">
        <v>1251</v>
      </c>
      <c r="E812" s="252">
        <v>12</v>
      </c>
      <c r="F812" s="252">
        <v>0</v>
      </c>
      <c r="G812" s="252">
        <v>0</v>
      </c>
      <c r="H812" s="252">
        <v>0</v>
      </c>
      <c r="I812" s="252">
        <v>12</v>
      </c>
      <c r="J812" s="252">
        <v>13</v>
      </c>
      <c r="K812" s="252">
        <v>25</v>
      </c>
      <c r="L812" s="252">
        <v>1</v>
      </c>
      <c r="M812" s="774"/>
      <c r="N812" s="255">
        <v>0.4</v>
      </c>
      <c r="O812" s="255">
        <v>0.6</v>
      </c>
      <c r="P812" s="251"/>
    </row>
    <row r="813" spans="1:16" x14ac:dyDescent="0.25">
      <c r="A813" s="818" t="s">
        <v>67</v>
      </c>
      <c r="B813" s="743"/>
      <c r="C813" s="743"/>
      <c r="D813" s="743"/>
      <c r="E813" s="743"/>
      <c r="F813" s="743"/>
      <c r="G813" s="743"/>
      <c r="H813" s="743"/>
      <c r="I813" s="743"/>
      <c r="J813" s="743"/>
      <c r="K813" s="743"/>
      <c r="L813" s="743"/>
      <c r="M813" s="743"/>
      <c r="N813" s="743"/>
      <c r="O813" s="743"/>
      <c r="P813" s="819"/>
    </row>
    <row r="814" spans="1:16" ht="24.75" x14ac:dyDescent="0.25">
      <c r="A814" s="827" t="s">
        <v>1167</v>
      </c>
      <c r="B814" s="729" t="s">
        <v>674</v>
      </c>
      <c r="C814" s="824" t="s">
        <v>1167</v>
      </c>
      <c r="D814" s="729" t="s">
        <v>674</v>
      </c>
      <c r="E814" s="253">
        <v>0</v>
      </c>
      <c r="F814" s="253">
        <v>0</v>
      </c>
      <c r="G814" s="253">
        <v>24</v>
      </c>
      <c r="H814" s="253">
        <v>0</v>
      </c>
      <c r="I814" s="253">
        <v>24</v>
      </c>
      <c r="J814" s="253">
        <v>26</v>
      </c>
      <c r="K814" s="252">
        <v>50</v>
      </c>
      <c r="L814" s="252">
        <v>2</v>
      </c>
      <c r="M814" s="253">
        <v>2</v>
      </c>
      <c r="N814" s="255">
        <v>0.4</v>
      </c>
      <c r="O814" s="255">
        <v>0.6</v>
      </c>
      <c r="P814" s="264" t="s">
        <v>1085</v>
      </c>
    </row>
    <row r="815" spans="1:16" ht="15.75" thickBot="1" x14ac:dyDescent="0.3">
      <c r="A815" s="266" t="s">
        <v>1169</v>
      </c>
      <c r="B815" s="267"/>
      <c r="C815" s="267"/>
      <c r="D815" s="267"/>
      <c r="E815" s="268">
        <v>125</v>
      </c>
      <c r="F815" s="268">
        <v>41</v>
      </c>
      <c r="G815" s="268">
        <v>156</v>
      </c>
      <c r="H815" s="268">
        <v>38</v>
      </c>
      <c r="I815" s="268">
        <v>360</v>
      </c>
      <c r="J815" s="268">
        <v>390</v>
      </c>
      <c r="K815" s="268">
        <v>750</v>
      </c>
      <c r="L815" s="268">
        <v>30</v>
      </c>
      <c r="M815" s="268">
        <v>30</v>
      </c>
      <c r="N815" s="268"/>
      <c r="O815" s="268"/>
      <c r="P815" s="271"/>
    </row>
    <row r="816" spans="1:16" x14ac:dyDescent="0.25">
      <c r="P816"/>
    </row>
    <row r="817" spans="1:16" x14ac:dyDescent="0.25">
      <c r="P817"/>
    </row>
    <row r="818" spans="1:16" x14ac:dyDescent="0.25">
      <c r="P818"/>
    </row>
    <row r="819" spans="1:16" x14ac:dyDescent="0.25">
      <c r="A819" s="231"/>
      <c r="B819" s="229"/>
      <c r="C819" s="229"/>
      <c r="D819" s="233" t="s">
        <v>1034</v>
      </c>
      <c r="E819" s="231"/>
      <c r="F819" s="231"/>
      <c r="G819" s="231"/>
      <c r="H819" s="231"/>
      <c r="I819" s="229"/>
      <c r="J819" s="231"/>
      <c r="K819" s="231"/>
      <c r="L819" s="231"/>
      <c r="M819" s="231"/>
      <c r="N819" s="231"/>
      <c r="O819" s="231"/>
      <c r="P819" s="231"/>
    </row>
    <row r="820" spans="1:16" x14ac:dyDescent="0.25">
      <c r="A820" s="231"/>
      <c r="B820" s="229"/>
      <c r="C820" s="229"/>
      <c r="D820" s="233" t="s">
        <v>1174</v>
      </c>
      <c r="E820" s="231"/>
      <c r="F820" s="231"/>
      <c r="G820" s="231"/>
      <c r="H820" s="231"/>
      <c r="I820" s="229"/>
      <c r="J820" s="231"/>
      <c r="K820" s="231"/>
      <c r="L820" s="231"/>
      <c r="M820" s="231"/>
      <c r="N820" s="231"/>
      <c r="O820" s="231"/>
      <c r="P820" s="231"/>
    </row>
    <row r="821" spans="1:16" x14ac:dyDescent="0.25">
      <c r="A821" s="231"/>
      <c r="B821" s="229"/>
      <c r="C821" s="229"/>
      <c r="D821" s="229" t="s">
        <v>1252</v>
      </c>
      <c r="E821" s="231"/>
      <c r="F821" s="231"/>
      <c r="G821" s="231"/>
      <c r="H821" s="231"/>
      <c r="I821" s="229"/>
      <c r="J821" s="231"/>
      <c r="K821" s="231"/>
      <c r="L821" s="231"/>
      <c r="M821" s="231"/>
      <c r="N821" s="231"/>
      <c r="O821" s="231"/>
      <c r="P821" s="231"/>
    </row>
    <row r="822" spans="1:16" ht="15.75" thickBot="1" x14ac:dyDescent="0.3">
      <c r="A822" s="272"/>
      <c r="B822" s="273"/>
      <c r="E822" s="272"/>
      <c r="F822" s="272"/>
      <c r="G822" s="272"/>
      <c r="I822" s="273"/>
      <c r="J822" s="272"/>
      <c r="N822" s="276"/>
      <c r="O822" s="276"/>
      <c r="P822" s="272"/>
    </row>
    <row r="823" spans="1:16" x14ac:dyDescent="0.25">
      <c r="A823" s="277"/>
      <c r="B823" s="278" t="s">
        <v>248</v>
      </c>
      <c r="C823" s="278"/>
      <c r="D823" s="278"/>
      <c r="E823" s="278" t="s">
        <v>249</v>
      </c>
      <c r="F823" s="278"/>
      <c r="G823" s="278"/>
      <c r="H823" s="278"/>
      <c r="I823" s="278"/>
      <c r="J823" s="278"/>
      <c r="K823" s="278"/>
      <c r="L823" s="279" t="s">
        <v>250</v>
      </c>
      <c r="M823" s="280" t="s">
        <v>251</v>
      </c>
      <c r="N823" s="281" t="s">
        <v>11</v>
      </c>
      <c r="O823" s="281"/>
      <c r="P823" s="238" t="s">
        <v>12</v>
      </c>
    </row>
    <row r="824" spans="1:16" ht="24" x14ac:dyDescent="0.25">
      <c r="A824" s="282" t="s">
        <v>252</v>
      </c>
      <c r="B824" s="283" t="s">
        <v>253</v>
      </c>
      <c r="C824" s="284" t="s">
        <v>254</v>
      </c>
      <c r="D824" s="285" t="s">
        <v>16</v>
      </c>
      <c r="E824" s="285" t="s">
        <v>255</v>
      </c>
      <c r="F824" s="285" t="s">
        <v>18</v>
      </c>
      <c r="G824" s="285" t="s">
        <v>19</v>
      </c>
      <c r="H824" s="285" t="s">
        <v>20</v>
      </c>
      <c r="I824" s="286" t="s">
        <v>21</v>
      </c>
      <c r="J824" s="285" t="s">
        <v>22</v>
      </c>
      <c r="K824" s="285" t="s">
        <v>23</v>
      </c>
      <c r="L824" s="287"/>
      <c r="M824" s="288"/>
      <c r="N824" s="817" t="s">
        <v>24</v>
      </c>
      <c r="O824" s="817" t="s">
        <v>25</v>
      </c>
      <c r="P824" s="246"/>
    </row>
    <row r="825" spans="1:16" x14ac:dyDescent="0.25">
      <c r="A825" s="818" t="s">
        <v>406</v>
      </c>
      <c r="B825" s="743"/>
      <c r="C825" s="743"/>
      <c r="D825" s="743"/>
      <c r="E825" s="743"/>
      <c r="F825" s="743"/>
      <c r="G825" s="743"/>
      <c r="H825" s="743"/>
      <c r="I825" s="743"/>
      <c r="J825" s="743"/>
      <c r="K825" s="743"/>
      <c r="L825" s="743"/>
      <c r="M825" s="743"/>
      <c r="N825" s="743"/>
      <c r="O825" s="743"/>
      <c r="P825" s="819"/>
    </row>
    <row r="826" spans="1:16" x14ac:dyDescent="0.25">
      <c r="A826" s="827" t="s">
        <v>1171</v>
      </c>
      <c r="B826" s="729" t="s">
        <v>777</v>
      </c>
      <c r="C826" s="729" t="s">
        <v>1171</v>
      </c>
      <c r="D826" s="729" t="s">
        <v>777</v>
      </c>
      <c r="E826" s="253">
        <v>0</v>
      </c>
      <c r="F826" s="253">
        <v>0</v>
      </c>
      <c r="G826" s="253">
        <v>0</v>
      </c>
      <c r="H826" s="253">
        <v>0</v>
      </c>
      <c r="I826" s="253">
        <v>360</v>
      </c>
      <c r="J826" s="252">
        <v>390</v>
      </c>
      <c r="K826" s="252">
        <v>750</v>
      </c>
      <c r="L826" s="252">
        <v>30</v>
      </c>
      <c r="M826" s="253">
        <v>30</v>
      </c>
      <c r="N826" s="255">
        <v>0.4</v>
      </c>
      <c r="O826" s="255">
        <v>0.6</v>
      </c>
      <c r="P826" s="264" t="s">
        <v>1173</v>
      </c>
    </row>
    <row r="827" spans="1:16" ht="15.75" thickBot="1" x14ac:dyDescent="0.3">
      <c r="A827" s="266" t="s">
        <v>917</v>
      </c>
      <c r="B827" s="267"/>
      <c r="C827" s="267"/>
      <c r="D827" s="267"/>
      <c r="E827" s="268">
        <v>0</v>
      </c>
      <c r="F827" s="268">
        <v>0</v>
      </c>
      <c r="G827" s="268">
        <v>0</v>
      </c>
      <c r="H827" s="268">
        <v>0</v>
      </c>
      <c r="I827" s="268">
        <v>360</v>
      </c>
      <c r="J827" s="268">
        <v>390</v>
      </c>
      <c r="K827" s="268">
        <v>750</v>
      </c>
      <c r="L827" s="268">
        <v>30</v>
      </c>
      <c r="M827" s="268">
        <v>30</v>
      </c>
      <c r="N827" s="268"/>
      <c r="O827" s="268"/>
      <c r="P827" s="271"/>
    </row>
    <row r="852" spans="1:16" ht="13.5" customHeight="1" x14ac:dyDescent="0.25">
      <c r="A852" s="842"/>
      <c r="C852" s="842"/>
      <c r="D852" s="473" t="s">
        <v>0</v>
      </c>
      <c r="P852" s="709"/>
    </row>
    <row r="853" spans="1:16" ht="13.5" customHeight="1" x14ac:dyDescent="0.25">
      <c r="A853" s="842"/>
      <c r="C853" s="842"/>
      <c r="D853" s="473" t="s">
        <v>1</v>
      </c>
      <c r="P853" s="709"/>
    </row>
    <row r="854" spans="1:16" ht="13.5" customHeight="1" x14ac:dyDescent="0.25">
      <c r="A854" s="842"/>
      <c r="C854" s="842"/>
      <c r="D854" s="473" t="s">
        <v>616</v>
      </c>
      <c r="P854" s="709"/>
    </row>
    <row r="855" spans="1:16" ht="13.5" customHeight="1" x14ac:dyDescent="0.25">
      <c r="A855" s="842"/>
      <c r="C855" s="842"/>
      <c r="D855" s="473" t="s">
        <v>3</v>
      </c>
      <c r="P855" s="709"/>
    </row>
    <row r="856" spans="1:16" ht="13.5" customHeight="1" x14ac:dyDescent="0.25">
      <c r="A856" s="842"/>
      <c r="C856" s="842"/>
      <c r="D856" s="553" t="s">
        <v>1253</v>
      </c>
      <c r="P856" s="709"/>
    </row>
    <row r="857" spans="1:16" ht="13.5" customHeight="1" x14ac:dyDescent="0.25">
      <c r="A857" s="842"/>
      <c r="C857" s="842"/>
      <c r="D857" s="473" t="s">
        <v>780</v>
      </c>
      <c r="P857" s="709"/>
    </row>
    <row r="858" spans="1:16" ht="13.5" customHeight="1" thickBot="1" x14ac:dyDescent="0.3">
      <c r="A858" s="842"/>
      <c r="C858" s="842"/>
      <c r="D858" s="473" t="s">
        <v>781</v>
      </c>
      <c r="P858" s="709"/>
    </row>
    <row r="859" spans="1:16" x14ac:dyDescent="0.25">
      <c r="A859" s="829" t="s">
        <v>248</v>
      </c>
      <c r="B859" s="278"/>
      <c r="C859" s="278"/>
      <c r="D859" s="278"/>
      <c r="E859" s="278" t="s">
        <v>249</v>
      </c>
      <c r="F859" s="278"/>
      <c r="G859" s="278"/>
      <c r="H859" s="278"/>
      <c r="I859" s="278"/>
      <c r="J859" s="278"/>
      <c r="K859" s="278"/>
      <c r="L859" s="279" t="s">
        <v>250</v>
      </c>
      <c r="M859" s="280" t="s">
        <v>251</v>
      </c>
      <c r="N859" s="281" t="s">
        <v>11</v>
      </c>
      <c r="O859" s="281"/>
      <c r="P859" s="238" t="s">
        <v>12</v>
      </c>
    </row>
    <row r="860" spans="1:16" ht="24" x14ac:dyDescent="0.25">
      <c r="A860" s="843" t="s">
        <v>252</v>
      </c>
      <c r="B860" s="283" t="s">
        <v>253</v>
      </c>
      <c r="C860" s="285" t="s">
        <v>254</v>
      </c>
      <c r="D860" s="285" t="s">
        <v>16</v>
      </c>
      <c r="E860" s="285" t="s">
        <v>255</v>
      </c>
      <c r="F860" s="285" t="s">
        <v>18</v>
      </c>
      <c r="G860" s="285" t="s">
        <v>19</v>
      </c>
      <c r="H860" s="285" t="s">
        <v>20</v>
      </c>
      <c r="I860" s="286" t="s">
        <v>21</v>
      </c>
      <c r="J860" s="285" t="s">
        <v>22</v>
      </c>
      <c r="K860" s="285" t="s">
        <v>23</v>
      </c>
      <c r="L860" s="287"/>
      <c r="M860" s="288"/>
      <c r="N860" s="817" t="s">
        <v>24</v>
      </c>
      <c r="O860" s="817" t="s">
        <v>25</v>
      </c>
      <c r="P860" s="246"/>
    </row>
    <row r="861" spans="1:16" x14ac:dyDescent="0.25">
      <c r="A861" s="844" t="s">
        <v>1254</v>
      </c>
      <c r="B861" s="845"/>
      <c r="C861" s="845"/>
      <c r="D861" s="845"/>
      <c r="E861" s="845"/>
      <c r="F861" s="845"/>
      <c r="G861" s="845"/>
      <c r="H861" s="845"/>
      <c r="I861" s="845"/>
      <c r="J861" s="845"/>
      <c r="K861" s="845"/>
      <c r="L861" s="845"/>
      <c r="M861" s="845"/>
      <c r="N861" s="846"/>
      <c r="O861" s="846"/>
      <c r="P861" s="847"/>
    </row>
    <row r="862" spans="1:16" x14ac:dyDescent="0.25">
      <c r="A862" s="848" t="s">
        <v>1255</v>
      </c>
      <c r="B862" s="849" t="s">
        <v>1256</v>
      </c>
      <c r="C862" s="850" t="s">
        <v>1257</v>
      </c>
      <c r="D862" s="851" t="s">
        <v>684</v>
      </c>
      <c r="E862" s="852">
        <v>16</v>
      </c>
      <c r="F862" s="852">
        <v>20</v>
      </c>
      <c r="G862" s="852">
        <v>0</v>
      </c>
      <c r="H862" s="852">
        <v>0</v>
      </c>
      <c r="I862" s="852">
        <v>36</v>
      </c>
      <c r="J862" s="852">
        <v>39</v>
      </c>
      <c r="K862" s="852">
        <v>75</v>
      </c>
      <c r="L862" s="852">
        <v>3</v>
      </c>
      <c r="M862" s="853">
        <v>6</v>
      </c>
      <c r="N862" s="854">
        <v>0.4</v>
      </c>
      <c r="O862" s="854">
        <v>0.6</v>
      </c>
      <c r="P862" s="855" t="s">
        <v>1258</v>
      </c>
    </row>
    <row r="863" spans="1:16" x14ac:dyDescent="0.25">
      <c r="A863" s="848"/>
      <c r="B863" s="849"/>
      <c r="C863" s="850" t="s">
        <v>1259</v>
      </c>
      <c r="D863" s="851" t="s">
        <v>1260</v>
      </c>
      <c r="E863" s="852">
        <v>12</v>
      </c>
      <c r="F863" s="852">
        <v>0</v>
      </c>
      <c r="G863" s="852">
        <v>0</v>
      </c>
      <c r="H863" s="852">
        <v>0</v>
      </c>
      <c r="I863" s="852">
        <v>12</v>
      </c>
      <c r="J863" s="852">
        <v>13</v>
      </c>
      <c r="K863" s="852">
        <v>25</v>
      </c>
      <c r="L863" s="852">
        <v>1</v>
      </c>
      <c r="M863" s="853"/>
      <c r="N863" s="854">
        <v>0.4</v>
      </c>
      <c r="O863" s="854">
        <v>0.6</v>
      </c>
      <c r="P863" s="855"/>
    </row>
    <row r="864" spans="1:16" x14ac:dyDescent="0.25">
      <c r="A864" s="848"/>
      <c r="B864" s="849"/>
      <c r="C864" s="850" t="s">
        <v>1261</v>
      </c>
      <c r="D864" s="851" t="s">
        <v>1262</v>
      </c>
      <c r="E864" s="852">
        <v>14</v>
      </c>
      <c r="F864" s="852">
        <v>10</v>
      </c>
      <c r="G864" s="852">
        <v>0</v>
      </c>
      <c r="H864" s="852">
        <v>0</v>
      </c>
      <c r="I864" s="856">
        <v>24</v>
      </c>
      <c r="J864" s="852">
        <v>26</v>
      </c>
      <c r="K864" s="852">
        <v>50</v>
      </c>
      <c r="L864" s="852">
        <v>2</v>
      </c>
      <c r="M864" s="853"/>
      <c r="N864" s="854">
        <v>0.4</v>
      </c>
      <c r="O864" s="854">
        <v>0.6</v>
      </c>
      <c r="P864" s="855"/>
    </row>
    <row r="865" spans="1:16" x14ac:dyDescent="0.25">
      <c r="A865" s="844" t="s">
        <v>1263</v>
      </c>
      <c r="B865" s="845"/>
      <c r="C865" s="845"/>
      <c r="D865" s="845"/>
      <c r="E865" s="845"/>
      <c r="F865" s="845"/>
      <c r="G865" s="845"/>
      <c r="H865" s="845"/>
      <c r="I865" s="845"/>
      <c r="J865" s="845"/>
      <c r="K865" s="845"/>
      <c r="L865" s="845"/>
      <c r="M865" s="845"/>
      <c r="N865" s="854"/>
      <c r="O865" s="854"/>
      <c r="P865" s="847"/>
    </row>
    <row r="866" spans="1:16" x14ac:dyDescent="0.25">
      <c r="A866" s="848" t="s">
        <v>1264</v>
      </c>
      <c r="B866" s="857" t="s">
        <v>1265</v>
      </c>
      <c r="C866" s="852" t="s">
        <v>1266</v>
      </c>
      <c r="D866" s="858" t="s">
        <v>1267</v>
      </c>
      <c r="E866" s="852">
        <v>4</v>
      </c>
      <c r="F866" s="852">
        <v>8</v>
      </c>
      <c r="G866" s="852">
        <v>0</v>
      </c>
      <c r="H866" s="852">
        <v>0</v>
      </c>
      <c r="I866" s="852">
        <v>12</v>
      </c>
      <c r="J866" s="852">
        <v>13</v>
      </c>
      <c r="K866" s="852">
        <v>25</v>
      </c>
      <c r="L866" s="852">
        <v>1</v>
      </c>
      <c r="M866" s="853">
        <v>2</v>
      </c>
      <c r="N866" s="854">
        <v>0.4</v>
      </c>
      <c r="O866" s="854">
        <v>0.6</v>
      </c>
      <c r="P866" s="855" t="s">
        <v>1268</v>
      </c>
    </row>
    <row r="867" spans="1:16" x14ac:dyDescent="0.25">
      <c r="A867" s="848"/>
      <c r="B867" s="857"/>
      <c r="C867" s="852" t="s">
        <v>1269</v>
      </c>
      <c r="D867" s="858" t="s">
        <v>1270</v>
      </c>
      <c r="E867" s="852">
        <v>0</v>
      </c>
      <c r="F867" s="852">
        <v>0</v>
      </c>
      <c r="G867" s="852">
        <v>0</v>
      </c>
      <c r="H867" s="852">
        <v>12</v>
      </c>
      <c r="I867" s="852">
        <v>12</v>
      </c>
      <c r="J867" s="852">
        <v>13</v>
      </c>
      <c r="K867" s="852">
        <v>25</v>
      </c>
      <c r="L867" s="852">
        <v>1</v>
      </c>
      <c r="M867" s="853"/>
      <c r="N867" s="854">
        <v>0.4</v>
      </c>
      <c r="O867" s="854">
        <v>0.6</v>
      </c>
      <c r="P867" s="855"/>
    </row>
    <row r="868" spans="1:16" ht="24" x14ac:dyDescent="0.25">
      <c r="A868" s="859" t="s">
        <v>673</v>
      </c>
      <c r="B868" s="851" t="s">
        <v>1271</v>
      </c>
      <c r="C868" s="852" t="s">
        <v>673</v>
      </c>
      <c r="D868" s="858" t="s">
        <v>674</v>
      </c>
      <c r="E868" s="852">
        <v>0</v>
      </c>
      <c r="F868" s="852">
        <v>24</v>
      </c>
      <c r="G868" s="852">
        <v>0</v>
      </c>
      <c r="H868" s="852">
        <v>0</v>
      </c>
      <c r="I868" s="852">
        <v>24</v>
      </c>
      <c r="J868" s="852">
        <v>26</v>
      </c>
      <c r="K868" s="852">
        <v>50</v>
      </c>
      <c r="L868" s="852">
        <v>2</v>
      </c>
      <c r="M868" s="852">
        <v>2</v>
      </c>
      <c r="N868" s="854">
        <v>0.4</v>
      </c>
      <c r="O868" s="854">
        <v>0.6</v>
      </c>
      <c r="P868" s="29" t="s">
        <v>1085</v>
      </c>
    </row>
    <row r="869" spans="1:16" x14ac:dyDescent="0.25">
      <c r="A869" s="848" t="s">
        <v>667</v>
      </c>
      <c r="B869" s="857" t="s">
        <v>668</v>
      </c>
      <c r="C869" s="852" t="s">
        <v>669</v>
      </c>
      <c r="D869" s="858" t="s">
        <v>64</v>
      </c>
      <c r="E869" s="852">
        <v>0</v>
      </c>
      <c r="F869" s="852">
        <v>12</v>
      </c>
      <c r="G869" s="852">
        <v>0</v>
      </c>
      <c r="H869" s="852">
        <v>0</v>
      </c>
      <c r="I869" s="852">
        <v>12</v>
      </c>
      <c r="J869" s="852">
        <v>13</v>
      </c>
      <c r="K869" s="852">
        <v>25</v>
      </c>
      <c r="L869" s="852">
        <v>1</v>
      </c>
      <c r="M869" s="853">
        <v>2</v>
      </c>
      <c r="N869" s="854">
        <v>0.4</v>
      </c>
      <c r="O869" s="854">
        <v>0.6</v>
      </c>
      <c r="P869" s="855" t="s">
        <v>1272</v>
      </c>
    </row>
    <row r="870" spans="1:16" x14ac:dyDescent="0.25">
      <c r="A870" s="848"/>
      <c r="B870" s="857"/>
      <c r="C870" s="852" t="s">
        <v>671</v>
      </c>
      <c r="D870" s="858" t="s">
        <v>670</v>
      </c>
      <c r="E870" s="852">
        <v>0</v>
      </c>
      <c r="F870" s="852">
        <v>12</v>
      </c>
      <c r="G870" s="852">
        <v>0</v>
      </c>
      <c r="H870" s="852">
        <v>0</v>
      </c>
      <c r="I870" s="852">
        <v>12</v>
      </c>
      <c r="J870" s="852">
        <v>13</v>
      </c>
      <c r="K870" s="852">
        <v>25</v>
      </c>
      <c r="L870" s="852">
        <v>1</v>
      </c>
      <c r="M870" s="853"/>
      <c r="N870" s="854">
        <v>0.4</v>
      </c>
      <c r="O870" s="854">
        <v>0.6</v>
      </c>
      <c r="P870" s="855"/>
    </row>
    <row r="871" spans="1:16" x14ac:dyDescent="0.25">
      <c r="A871" s="848" t="s">
        <v>942</v>
      </c>
      <c r="B871" s="857" t="s">
        <v>655</v>
      </c>
      <c r="C871" s="852" t="s">
        <v>943</v>
      </c>
      <c r="D871" s="858" t="s">
        <v>657</v>
      </c>
      <c r="E871" s="852">
        <v>13</v>
      </c>
      <c r="F871" s="852">
        <v>23</v>
      </c>
      <c r="G871" s="852">
        <v>0</v>
      </c>
      <c r="H871" s="852">
        <v>0</v>
      </c>
      <c r="I871" s="852">
        <v>36</v>
      </c>
      <c r="J871" s="852">
        <v>39</v>
      </c>
      <c r="K871" s="852">
        <v>75</v>
      </c>
      <c r="L871" s="852">
        <v>3</v>
      </c>
      <c r="M871" s="853">
        <v>6</v>
      </c>
      <c r="N871" s="854">
        <v>0.4</v>
      </c>
      <c r="O871" s="854">
        <v>0.6</v>
      </c>
      <c r="P871" s="855" t="s">
        <v>1272</v>
      </c>
    </row>
    <row r="872" spans="1:16" x14ac:dyDescent="0.25">
      <c r="A872" s="848"/>
      <c r="B872" s="857"/>
      <c r="C872" s="852" t="s">
        <v>945</v>
      </c>
      <c r="D872" s="858" t="s">
        <v>659</v>
      </c>
      <c r="E872" s="852">
        <v>13</v>
      </c>
      <c r="F872" s="852">
        <v>23</v>
      </c>
      <c r="G872" s="852">
        <v>0</v>
      </c>
      <c r="H872" s="852">
        <v>0</v>
      </c>
      <c r="I872" s="852">
        <v>36</v>
      </c>
      <c r="J872" s="852">
        <v>39</v>
      </c>
      <c r="K872" s="852">
        <v>75</v>
      </c>
      <c r="L872" s="852">
        <v>3</v>
      </c>
      <c r="M872" s="853"/>
      <c r="N872" s="854">
        <v>0.4</v>
      </c>
      <c r="O872" s="854">
        <v>0.6</v>
      </c>
      <c r="P872" s="855"/>
    </row>
    <row r="873" spans="1:16" x14ac:dyDescent="0.25">
      <c r="A873" s="848" t="s">
        <v>958</v>
      </c>
      <c r="B873" s="857" t="s">
        <v>1273</v>
      </c>
      <c r="C873" s="852" t="s">
        <v>1274</v>
      </c>
      <c r="D873" s="858" t="s">
        <v>1275</v>
      </c>
      <c r="E873" s="852">
        <v>0</v>
      </c>
      <c r="F873" s="852">
        <v>5</v>
      </c>
      <c r="G873" s="852">
        <v>19</v>
      </c>
      <c r="H873" s="852">
        <v>0</v>
      </c>
      <c r="I873" s="852">
        <v>24</v>
      </c>
      <c r="J873" s="852">
        <v>26</v>
      </c>
      <c r="K873" s="852">
        <v>50</v>
      </c>
      <c r="L873" s="852">
        <v>2</v>
      </c>
      <c r="M873" s="853">
        <v>5</v>
      </c>
      <c r="N873" s="854">
        <v>0.4</v>
      </c>
      <c r="O873" s="854">
        <v>0.6</v>
      </c>
      <c r="P873" s="855" t="s">
        <v>1276</v>
      </c>
    </row>
    <row r="874" spans="1:16" x14ac:dyDescent="0.25">
      <c r="A874" s="848"/>
      <c r="B874" s="857"/>
      <c r="C874" s="852" t="s">
        <v>1277</v>
      </c>
      <c r="D874" s="858" t="s">
        <v>1278</v>
      </c>
      <c r="E874" s="852">
        <v>0</v>
      </c>
      <c r="F874" s="852">
        <v>5</v>
      </c>
      <c r="G874" s="852">
        <v>7</v>
      </c>
      <c r="H874" s="852">
        <v>0</v>
      </c>
      <c r="I874" s="852">
        <v>12</v>
      </c>
      <c r="J874" s="852">
        <v>13</v>
      </c>
      <c r="K874" s="852">
        <v>25</v>
      </c>
      <c r="L874" s="852">
        <v>1</v>
      </c>
      <c r="M874" s="853"/>
      <c r="N874" s="854">
        <v>0.4</v>
      </c>
      <c r="O874" s="854">
        <v>0.6</v>
      </c>
      <c r="P874" s="855"/>
    </row>
    <row r="875" spans="1:16" x14ac:dyDescent="0.25">
      <c r="A875" s="848"/>
      <c r="B875" s="857"/>
      <c r="C875" s="852" t="s">
        <v>1279</v>
      </c>
      <c r="D875" s="858" t="s">
        <v>1280</v>
      </c>
      <c r="E875" s="852">
        <v>0</v>
      </c>
      <c r="F875" s="852">
        <v>6</v>
      </c>
      <c r="G875" s="852">
        <v>18</v>
      </c>
      <c r="H875" s="852">
        <v>0</v>
      </c>
      <c r="I875" s="852">
        <v>24</v>
      </c>
      <c r="J875" s="852">
        <v>26</v>
      </c>
      <c r="K875" s="852">
        <v>50</v>
      </c>
      <c r="L875" s="852">
        <v>2</v>
      </c>
      <c r="M875" s="853"/>
      <c r="N875" s="854">
        <v>0.4</v>
      </c>
      <c r="O875" s="854">
        <v>0.6</v>
      </c>
      <c r="P875" s="855"/>
    </row>
    <row r="876" spans="1:16" x14ac:dyDescent="0.25">
      <c r="A876" s="860" t="s">
        <v>1281</v>
      </c>
      <c r="B876" s="861"/>
      <c r="C876" s="861"/>
      <c r="D876" s="861"/>
      <c r="E876" s="861"/>
      <c r="F876" s="861"/>
      <c r="G876" s="861"/>
      <c r="H876" s="861"/>
      <c r="I876" s="861"/>
      <c r="J876" s="861"/>
      <c r="K876" s="861"/>
      <c r="L876" s="861"/>
      <c r="M876" s="861"/>
      <c r="N876" s="854"/>
      <c r="O876" s="854"/>
      <c r="P876" s="847"/>
    </row>
    <row r="877" spans="1:16" ht="24" x14ac:dyDescent="0.25">
      <c r="A877" s="848" t="s">
        <v>1282</v>
      </c>
      <c r="B877" s="857" t="s">
        <v>1283</v>
      </c>
      <c r="C877" s="852" t="s">
        <v>1284</v>
      </c>
      <c r="D877" s="858" t="s">
        <v>1285</v>
      </c>
      <c r="E877" s="852">
        <v>36</v>
      </c>
      <c r="F877" s="852">
        <v>0</v>
      </c>
      <c r="G877" s="852">
        <v>0</v>
      </c>
      <c r="H877" s="852">
        <v>0</v>
      </c>
      <c r="I877" s="852">
        <v>36</v>
      </c>
      <c r="J877" s="852">
        <v>39</v>
      </c>
      <c r="K877" s="852">
        <v>75</v>
      </c>
      <c r="L877" s="852">
        <v>3</v>
      </c>
      <c r="M877" s="853">
        <v>5</v>
      </c>
      <c r="N877" s="854">
        <v>0.4</v>
      </c>
      <c r="O877" s="854">
        <v>0.6</v>
      </c>
      <c r="P877" s="855" t="s">
        <v>1272</v>
      </c>
    </row>
    <row r="878" spans="1:16" ht="24" x14ac:dyDescent="0.25">
      <c r="A878" s="848"/>
      <c r="B878" s="857"/>
      <c r="C878" s="852" t="s">
        <v>1286</v>
      </c>
      <c r="D878" s="858" t="s">
        <v>1287</v>
      </c>
      <c r="E878" s="852">
        <v>24</v>
      </c>
      <c r="F878" s="852">
        <v>0</v>
      </c>
      <c r="G878" s="852">
        <v>0</v>
      </c>
      <c r="H878" s="852">
        <v>0</v>
      </c>
      <c r="I878" s="852">
        <v>24</v>
      </c>
      <c r="J878" s="852">
        <v>26</v>
      </c>
      <c r="K878" s="852">
        <v>50</v>
      </c>
      <c r="L878" s="852">
        <v>2</v>
      </c>
      <c r="M878" s="853"/>
      <c r="N878" s="854">
        <v>0.4</v>
      </c>
      <c r="O878" s="854">
        <v>0.6</v>
      </c>
      <c r="P878" s="855"/>
    </row>
    <row r="879" spans="1:16" x14ac:dyDescent="0.25">
      <c r="A879" s="848" t="s">
        <v>1288</v>
      </c>
      <c r="B879" s="853" t="s">
        <v>1289</v>
      </c>
      <c r="C879" s="850" t="s">
        <v>1290</v>
      </c>
      <c r="D879" s="858" t="s">
        <v>1291</v>
      </c>
      <c r="E879" s="852">
        <v>6</v>
      </c>
      <c r="F879" s="852">
        <v>6</v>
      </c>
      <c r="G879" s="852">
        <v>0</v>
      </c>
      <c r="H879" s="852">
        <v>0</v>
      </c>
      <c r="I879" s="852">
        <v>12</v>
      </c>
      <c r="J879" s="852">
        <v>13</v>
      </c>
      <c r="K879" s="852">
        <v>25</v>
      </c>
      <c r="L879" s="852">
        <v>1</v>
      </c>
      <c r="M879" s="853">
        <v>2</v>
      </c>
      <c r="N879" s="854">
        <v>0.4</v>
      </c>
      <c r="O879" s="854">
        <v>0.6</v>
      </c>
      <c r="P879" s="862" t="s">
        <v>1292</v>
      </c>
    </row>
    <row r="880" spans="1:16" x14ac:dyDescent="0.25">
      <c r="A880" s="848"/>
      <c r="B880" s="853"/>
      <c r="C880" s="850" t="s">
        <v>1293</v>
      </c>
      <c r="D880" s="858" t="s">
        <v>1294</v>
      </c>
      <c r="E880" s="852">
        <v>6</v>
      </c>
      <c r="F880" s="852">
        <v>6</v>
      </c>
      <c r="G880" s="852">
        <v>0</v>
      </c>
      <c r="H880" s="852">
        <v>0</v>
      </c>
      <c r="I880" s="852">
        <v>12</v>
      </c>
      <c r="J880" s="852">
        <v>13</v>
      </c>
      <c r="K880" s="852">
        <v>25</v>
      </c>
      <c r="L880" s="852">
        <v>1</v>
      </c>
      <c r="M880" s="853"/>
      <c r="N880" s="854">
        <v>0.4</v>
      </c>
      <c r="O880" s="854">
        <v>0.6</v>
      </c>
      <c r="P880" s="862"/>
    </row>
    <row r="881" spans="1:16" ht="15.75" thickBot="1" x14ac:dyDescent="0.3">
      <c r="A881" s="863" t="s">
        <v>1295</v>
      </c>
      <c r="B881" s="864"/>
      <c r="C881" s="864"/>
      <c r="D881" s="864"/>
      <c r="E881" s="865">
        <f>SUM(E877:E880,E866:E875,E862:E864)</f>
        <v>144</v>
      </c>
      <c r="F881" s="865">
        <f t="shared" ref="F881:L881" si="49">SUM(F877:F880,F866:F875,F862:F864)</f>
        <v>160</v>
      </c>
      <c r="G881" s="865">
        <f t="shared" si="49"/>
        <v>44</v>
      </c>
      <c r="H881" s="865">
        <f t="shared" si="49"/>
        <v>12</v>
      </c>
      <c r="I881" s="865">
        <f t="shared" si="49"/>
        <v>360</v>
      </c>
      <c r="J881" s="865">
        <f t="shared" si="49"/>
        <v>390</v>
      </c>
      <c r="K881" s="865">
        <f t="shared" si="49"/>
        <v>750</v>
      </c>
      <c r="L881" s="866">
        <f t="shared" si="49"/>
        <v>30</v>
      </c>
      <c r="M881" s="866"/>
      <c r="N881" s="867"/>
      <c r="O881" s="867"/>
      <c r="P881" s="868"/>
    </row>
    <row r="882" spans="1:16" x14ac:dyDescent="0.25">
      <c r="A882" s="842"/>
      <c r="C882" s="842"/>
      <c r="P882" s="709"/>
    </row>
    <row r="883" spans="1:16" x14ac:dyDescent="0.25">
      <c r="A883" s="842"/>
      <c r="C883" s="842"/>
      <c r="P883" s="709"/>
    </row>
    <row r="884" spans="1:16" ht="15.75" thickBot="1" x14ac:dyDescent="0.3">
      <c r="A884" s="842"/>
      <c r="B884" s="869"/>
      <c r="C884" s="842"/>
      <c r="D884" s="473" t="s">
        <v>834</v>
      </c>
      <c r="P884" s="709"/>
    </row>
    <row r="885" spans="1:16" x14ac:dyDescent="0.25">
      <c r="A885" s="829" t="s">
        <v>248</v>
      </c>
      <c r="B885" s="278"/>
      <c r="C885" s="278"/>
      <c r="D885" s="278"/>
      <c r="E885" s="870" t="s">
        <v>1296</v>
      </c>
      <c r="F885" s="870"/>
      <c r="G885" s="870"/>
      <c r="H885" s="870"/>
      <c r="I885" s="870"/>
      <c r="J885" s="870"/>
      <c r="K885" s="870"/>
      <c r="L885" s="871" t="s">
        <v>1297</v>
      </c>
      <c r="M885" s="871" t="s">
        <v>251</v>
      </c>
      <c r="N885" s="872" t="s">
        <v>11</v>
      </c>
      <c r="O885" s="872"/>
      <c r="P885" s="238" t="s">
        <v>12</v>
      </c>
    </row>
    <row r="886" spans="1:16" ht="24" x14ac:dyDescent="0.25">
      <c r="A886" s="873" t="s">
        <v>13</v>
      </c>
      <c r="B886" s="874" t="s">
        <v>1298</v>
      </c>
      <c r="C886" s="874" t="s">
        <v>254</v>
      </c>
      <c r="D886" s="875" t="s">
        <v>16</v>
      </c>
      <c r="E886" s="875" t="s">
        <v>17</v>
      </c>
      <c r="F886" s="875" t="s">
        <v>18</v>
      </c>
      <c r="G886" s="875" t="s">
        <v>19</v>
      </c>
      <c r="H886" s="875" t="s">
        <v>1299</v>
      </c>
      <c r="I886" s="875" t="s">
        <v>1300</v>
      </c>
      <c r="J886" s="875" t="s">
        <v>22</v>
      </c>
      <c r="K886" s="875" t="s">
        <v>1301</v>
      </c>
      <c r="L886" s="876"/>
      <c r="M886" s="876"/>
      <c r="N886" s="817" t="s">
        <v>24</v>
      </c>
      <c r="O886" s="817" t="s">
        <v>25</v>
      </c>
      <c r="P886" s="246"/>
    </row>
    <row r="887" spans="1:16" x14ac:dyDescent="0.25">
      <c r="A887" s="877"/>
      <c r="B887" s="876"/>
      <c r="C887" s="876"/>
      <c r="D887" s="876"/>
      <c r="E887" s="876"/>
      <c r="F887" s="876"/>
      <c r="G887" s="876"/>
      <c r="H887" s="876"/>
      <c r="I887" s="876"/>
      <c r="J887" s="876"/>
      <c r="K887" s="876"/>
      <c r="L887" s="876"/>
      <c r="M887" s="876"/>
      <c r="N887" s="876"/>
      <c r="O887" s="876"/>
      <c r="P887" s="878"/>
    </row>
    <row r="888" spans="1:16" x14ac:dyDescent="0.25">
      <c r="A888" s="879" t="s">
        <v>1302</v>
      </c>
      <c r="B888" s="880" t="s">
        <v>1303</v>
      </c>
      <c r="C888" s="881" t="s">
        <v>1304</v>
      </c>
      <c r="D888" s="881" t="s">
        <v>1305</v>
      </c>
      <c r="E888" s="881">
        <v>12</v>
      </c>
      <c r="F888" s="881">
        <v>0</v>
      </c>
      <c r="G888" s="881">
        <v>0</v>
      </c>
      <c r="H888" s="881">
        <v>0</v>
      </c>
      <c r="I888" s="881">
        <v>12</v>
      </c>
      <c r="J888" s="881">
        <v>13</v>
      </c>
      <c r="K888" s="881">
        <v>25</v>
      </c>
      <c r="L888" s="881">
        <v>1</v>
      </c>
      <c r="M888" s="882">
        <v>4</v>
      </c>
      <c r="N888" s="854">
        <v>0.4</v>
      </c>
      <c r="O888" s="854">
        <v>0.6</v>
      </c>
      <c r="P888" s="883" t="s">
        <v>1306</v>
      </c>
    </row>
    <row r="889" spans="1:16" x14ac:dyDescent="0.25">
      <c r="A889" s="879"/>
      <c r="B889" s="880"/>
      <c r="C889" s="881" t="s">
        <v>1307</v>
      </c>
      <c r="D889" s="881" t="s">
        <v>1308</v>
      </c>
      <c r="E889" s="881">
        <v>12</v>
      </c>
      <c r="F889" s="881">
        <v>0</v>
      </c>
      <c r="G889" s="881"/>
      <c r="H889" s="881">
        <v>12</v>
      </c>
      <c r="I889" s="881">
        <v>24</v>
      </c>
      <c r="J889" s="881">
        <v>26</v>
      </c>
      <c r="K889" s="881">
        <v>50</v>
      </c>
      <c r="L889" s="881">
        <v>2</v>
      </c>
      <c r="M889" s="882"/>
      <c r="N889" s="854">
        <v>0.4</v>
      </c>
      <c r="O889" s="854">
        <v>0.6</v>
      </c>
      <c r="P889" s="883"/>
    </row>
    <row r="890" spans="1:16" ht="24" x14ac:dyDescent="0.25">
      <c r="A890" s="879"/>
      <c r="B890" s="880"/>
      <c r="C890" s="881" t="s">
        <v>1309</v>
      </c>
      <c r="D890" s="881" t="s">
        <v>1310</v>
      </c>
      <c r="E890" s="881">
        <v>12</v>
      </c>
      <c r="F890" s="881">
        <v>0</v>
      </c>
      <c r="G890" s="881">
        <v>0</v>
      </c>
      <c r="H890" s="881">
        <v>0</v>
      </c>
      <c r="I890" s="881">
        <v>12</v>
      </c>
      <c r="J890" s="881">
        <v>13</v>
      </c>
      <c r="K890" s="881">
        <v>25</v>
      </c>
      <c r="L890" s="881">
        <v>1</v>
      </c>
      <c r="M890" s="882"/>
      <c r="N890" s="854">
        <v>0.4</v>
      </c>
      <c r="O890" s="854">
        <v>0.6</v>
      </c>
      <c r="P890" s="883"/>
    </row>
    <row r="891" spans="1:16" ht="24" x14ac:dyDescent="0.25">
      <c r="A891" s="879" t="s">
        <v>1311</v>
      </c>
      <c r="B891" s="880" t="s">
        <v>1312</v>
      </c>
      <c r="C891" s="881" t="s">
        <v>1313</v>
      </c>
      <c r="D891" s="881" t="s">
        <v>1314</v>
      </c>
      <c r="E891" s="881">
        <v>18</v>
      </c>
      <c r="F891" s="881">
        <v>0</v>
      </c>
      <c r="G891" s="881">
        <v>18</v>
      </c>
      <c r="H891" s="881">
        <v>0</v>
      </c>
      <c r="I891" s="881">
        <v>36</v>
      </c>
      <c r="J891" s="881">
        <v>39</v>
      </c>
      <c r="K891" s="881">
        <v>75</v>
      </c>
      <c r="L891" s="881">
        <v>3</v>
      </c>
      <c r="M891" s="882">
        <v>5</v>
      </c>
      <c r="N891" s="854">
        <v>0.4</v>
      </c>
      <c r="O891" s="854">
        <v>0.6</v>
      </c>
      <c r="P891" s="884" t="s">
        <v>1315</v>
      </c>
    </row>
    <row r="892" spans="1:16" ht="24" x14ac:dyDescent="0.25">
      <c r="A892" s="879"/>
      <c r="B892" s="880"/>
      <c r="C892" s="881" t="s">
        <v>1316</v>
      </c>
      <c r="D892" s="881" t="s">
        <v>1317</v>
      </c>
      <c r="E892" s="499">
        <v>12</v>
      </c>
      <c r="F892" s="499">
        <v>0</v>
      </c>
      <c r="G892" s="499">
        <v>12</v>
      </c>
      <c r="H892" s="499">
        <v>0</v>
      </c>
      <c r="I892" s="499">
        <v>24</v>
      </c>
      <c r="J892" s="499">
        <v>26</v>
      </c>
      <c r="K892" s="499">
        <v>50</v>
      </c>
      <c r="L892" s="499">
        <v>2</v>
      </c>
      <c r="M892" s="882"/>
      <c r="N892" s="854">
        <v>0.4</v>
      </c>
      <c r="O892" s="854">
        <v>0.6</v>
      </c>
      <c r="P892" s="884"/>
    </row>
    <row r="893" spans="1:16" ht="24" x14ac:dyDescent="0.25">
      <c r="A893" s="879" t="s">
        <v>1318</v>
      </c>
      <c r="B893" s="880" t="s">
        <v>1319</v>
      </c>
      <c r="C893" s="881" t="s">
        <v>1320</v>
      </c>
      <c r="D893" s="881" t="s">
        <v>1321</v>
      </c>
      <c r="E893" s="499">
        <v>12</v>
      </c>
      <c r="F893" s="499">
        <v>0</v>
      </c>
      <c r="G893" s="499">
        <v>0</v>
      </c>
      <c r="H893" s="499">
        <v>0</v>
      </c>
      <c r="I893" s="499">
        <v>12</v>
      </c>
      <c r="J893" s="499">
        <v>13</v>
      </c>
      <c r="K893" s="499">
        <v>25</v>
      </c>
      <c r="L893" s="499">
        <v>1</v>
      </c>
      <c r="M893" s="882">
        <v>4</v>
      </c>
      <c r="N893" s="854">
        <v>0.4</v>
      </c>
      <c r="O893" s="854">
        <v>0.6</v>
      </c>
      <c r="P893" s="884" t="s">
        <v>1322</v>
      </c>
    </row>
    <row r="894" spans="1:16" ht="24" x14ac:dyDescent="0.25">
      <c r="A894" s="879"/>
      <c r="B894" s="880"/>
      <c r="C894" s="881" t="s">
        <v>1323</v>
      </c>
      <c r="D894" s="881" t="s">
        <v>1324</v>
      </c>
      <c r="E894" s="852">
        <v>7</v>
      </c>
      <c r="F894" s="499">
        <v>0</v>
      </c>
      <c r="G894" s="499">
        <v>5</v>
      </c>
      <c r="H894" s="499">
        <v>0</v>
      </c>
      <c r="I894" s="499">
        <v>12</v>
      </c>
      <c r="J894" s="499">
        <v>13</v>
      </c>
      <c r="K894" s="499">
        <v>25</v>
      </c>
      <c r="L894" s="499">
        <v>1</v>
      </c>
      <c r="M894" s="882"/>
      <c r="N894" s="854">
        <v>0.4</v>
      </c>
      <c r="O894" s="854">
        <v>0.6</v>
      </c>
      <c r="P894" s="884"/>
    </row>
    <row r="895" spans="1:16" ht="24" x14ac:dyDescent="0.25">
      <c r="A895" s="879"/>
      <c r="B895" s="880"/>
      <c r="C895" s="881" t="s">
        <v>1325</v>
      </c>
      <c r="D895" s="881" t="s">
        <v>1326</v>
      </c>
      <c r="E895" s="499">
        <v>12</v>
      </c>
      <c r="F895" s="499">
        <v>0</v>
      </c>
      <c r="G895" s="499">
        <v>12</v>
      </c>
      <c r="H895" s="499">
        <v>0</v>
      </c>
      <c r="I895" s="499">
        <v>24</v>
      </c>
      <c r="J895" s="499">
        <v>26</v>
      </c>
      <c r="K895" s="499">
        <v>50</v>
      </c>
      <c r="L895" s="499">
        <v>2</v>
      </c>
      <c r="M895" s="882"/>
      <c r="N895" s="854">
        <v>0.4</v>
      </c>
      <c r="O895" s="854">
        <v>0.6</v>
      </c>
      <c r="P895" s="884"/>
    </row>
    <row r="896" spans="1:16" ht="24" x14ac:dyDescent="0.25">
      <c r="A896" s="879" t="s">
        <v>1327</v>
      </c>
      <c r="B896" s="880" t="s">
        <v>1328</v>
      </c>
      <c r="C896" s="881" t="s">
        <v>1329</v>
      </c>
      <c r="D896" s="881" t="s">
        <v>1330</v>
      </c>
      <c r="E896" s="499">
        <v>14</v>
      </c>
      <c r="F896" s="499">
        <v>0</v>
      </c>
      <c r="G896" s="499">
        <v>10</v>
      </c>
      <c r="H896" s="499">
        <v>0</v>
      </c>
      <c r="I896" s="499">
        <v>24</v>
      </c>
      <c r="J896" s="499">
        <v>26</v>
      </c>
      <c r="K896" s="499">
        <v>50</v>
      </c>
      <c r="L896" s="499">
        <v>2</v>
      </c>
      <c r="M896" s="882">
        <v>6</v>
      </c>
      <c r="N896" s="854">
        <v>0.4</v>
      </c>
      <c r="O896" s="854">
        <v>0.6</v>
      </c>
      <c r="P896" s="883" t="s">
        <v>1331</v>
      </c>
    </row>
    <row r="897" spans="1:16" ht="24" x14ac:dyDescent="0.25">
      <c r="A897" s="879"/>
      <c r="B897" s="880"/>
      <c r="C897" s="881" t="s">
        <v>1332</v>
      </c>
      <c r="D897" s="881" t="s">
        <v>1333</v>
      </c>
      <c r="E897" s="499">
        <v>14</v>
      </c>
      <c r="F897" s="499">
        <v>0</v>
      </c>
      <c r="G897" s="499">
        <v>10</v>
      </c>
      <c r="H897" s="499">
        <v>0</v>
      </c>
      <c r="I897" s="499">
        <v>24</v>
      </c>
      <c r="J897" s="499">
        <v>26</v>
      </c>
      <c r="K897" s="499">
        <v>50</v>
      </c>
      <c r="L897" s="499">
        <v>2</v>
      </c>
      <c r="M897" s="882"/>
      <c r="N897" s="854">
        <v>0.4</v>
      </c>
      <c r="O897" s="854">
        <v>0.6</v>
      </c>
      <c r="P897" s="883"/>
    </row>
    <row r="898" spans="1:16" ht="24" x14ac:dyDescent="0.25">
      <c r="A898" s="879"/>
      <c r="B898" s="880"/>
      <c r="C898" s="881" t="s">
        <v>1334</v>
      </c>
      <c r="D898" s="881" t="s">
        <v>1335</v>
      </c>
      <c r="E898" s="499">
        <v>14</v>
      </c>
      <c r="F898" s="499">
        <v>0</v>
      </c>
      <c r="G898" s="499">
        <v>10</v>
      </c>
      <c r="H898" s="499">
        <v>0</v>
      </c>
      <c r="I898" s="499">
        <v>24</v>
      </c>
      <c r="J898" s="499">
        <v>26</v>
      </c>
      <c r="K898" s="499">
        <v>50</v>
      </c>
      <c r="L898" s="499">
        <v>2</v>
      </c>
      <c r="M898" s="882"/>
      <c r="N898" s="854">
        <v>0.4</v>
      </c>
      <c r="O898" s="854">
        <v>0.6</v>
      </c>
      <c r="P898" s="883"/>
    </row>
    <row r="899" spans="1:16" ht="18.75" customHeight="1" x14ac:dyDescent="0.25">
      <c r="A899" s="879" t="s">
        <v>1336</v>
      </c>
      <c r="B899" s="880" t="s">
        <v>1337</v>
      </c>
      <c r="C899" s="881" t="s">
        <v>1338</v>
      </c>
      <c r="D899" s="881" t="s">
        <v>1339</v>
      </c>
      <c r="E899" s="499">
        <v>12</v>
      </c>
      <c r="F899" s="499">
        <v>12</v>
      </c>
      <c r="G899" s="499">
        <v>0</v>
      </c>
      <c r="H899" s="499">
        <v>0</v>
      </c>
      <c r="I899" s="499">
        <v>24</v>
      </c>
      <c r="J899" s="499">
        <v>26</v>
      </c>
      <c r="K899" s="499">
        <v>50</v>
      </c>
      <c r="L899" s="499">
        <v>2</v>
      </c>
      <c r="M899" s="882">
        <v>6</v>
      </c>
      <c r="N899" s="854">
        <v>0.4</v>
      </c>
      <c r="O899" s="854">
        <v>0.6</v>
      </c>
      <c r="P899" s="884" t="s">
        <v>1315</v>
      </c>
    </row>
    <row r="900" spans="1:16" ht="18.75" customHeight="1" x14ac:dyDescent="0.25">
      <c r="A900" s="879"/>
      <c r="B900" s="880"/>
      <c r="C900" s="881" t="s">
        <v>1340</v>
      </c>
      <c r="D900" s="881" t="s">
        <v>1341</v>
      </c>
      <c r="E900" s="499">
        <v>12</v>
      </c>
      <c r="F900" s="499">
        <v>12</v>
      </c>
      <c r="G900" s="499">
        <v>0</v>
      </c>
      <c r="H900" s="499">
        <v>0</v>
      </c>
      <c r="I900" s="499">
        <v>24</v>
      </c>
      <c r="J900" s="499">
        <v>26</v>
      </c>
      <c r="K900" s="499">
        <v>50</v>
      </c>
      <c r="L900" s="499">
        <v>2</v>
      </c>
      <c r="M900" s="882"/>
      <c r="N900" s="854">
        <v>0.4</v>
      </c>
      <c r="O900" s="854">
        <v>0.6</v>
      </c>
      <c r="P900" s="884"/>
    </row>
    <row r="901" spans="1:16" ht="18.75" customHeight="1" x14ac:dyDescent="0.25">
      <c r="A901" s="879"/>
      <c r="B901" s="880"/>
      <c r="C901" s="881" t="s">
        <v>1342</v>
      </c>
      <c r="D901" s="881" t="s">
        <v>1343</v>
      </c>
      <c r="E901" s="499">
        <v>12</v>
      </c>
      <c r="F901" s="499">
        <v>12</v>
      </c>
      <c r="G901" s="499">
        <v>0</v>
      </c>
      <c r="H901" s="499">
        <v>0</v>
      </c>
      <c r="I901" s="499">
        <v>24</v>
      </c>
      <c r="J901" s="499">
        <v>26</v>
      </c>
      <c r="K901" s="499">
        <v>50</v>
      </c>
      <c r="L901" s="499">
        <v>2</v>
      </c>
      <c r="M901" s="882"/>
      <c r="N901" s="854">
        <v>0.4</v>
      </c>
      <c r="O901" s="854">
        <v>0.6</v>
      </c>
      <c r="P901" s="884"/>
    </row>
    <row r="902" spans="1:16" ht="9.75" customHeight="1" x14ac:dyDescent="0.25">
      <c r="A902" s="877"/>
      <c r="B902" s="876"/>
      <c r="C902" s="876"/>
      <c r="D902" s="876"/>
      <c r="E902" s="876"/>
      <c r="F902" s="876"/>
      <c r="G902" s="876"/>
      <c r="H902" s="876"/>
      <c r="I902" s="876"/>
      <c r="J902" s="876"/>
      <c r="K902" s="876"/>
      <c r="L902" s="876"/>
      <c r="M902" s="876"/>
      <c r="N902" s="876"/>
      <c r="O902" s="876"/>
      <c r="P902" s="878"/>
    </row>
    <row r="903" spans="1:16" ht="24" x14ac:dyDescent="0.25">
      <c r="A903" s="885" t="s">
        <v>1344</v>
      </c>
      <c r="B903" s="924" t="s">
        <v>1345</v>
      </c>
      <c r="C903" s="886" t="s">
        <v>1344</v>
      </c>
      <c r="D903" s="886" t="s">
        <v>1346</v>
      </c>
      <c r="E903" s="881">
        <v>14</v>
      </c>
      <c r="F903" s="881">
        <v>0</v>
      </c>
      <c r="G903" s="881">
        <v>10</v>
      </c>
      <c r="H903" s="881">
        <v>0</v>
      </c>
      <c r="I903" s="881">
        <v>24</v>
      </c>
      <c r="J903" s="881">
        <v>26</v>
      </c>
      <c r="K903" s="499">
        <v>50</v>
      </c>
      <c r="L903" s="881">
        <v>2</v>
      </c>
      <c r="M903" s="499">
        <v>2</v>
      </c>
      <c r="N903" s="854">
        <v>0.4</v>
      </c>
      <c r="O903" s="854">
        <v>0.6</v>
      </c>
      <c r="P903" s="29" t="s">
        <v>1347</v>
      </c>
    </row>
    <row r="904" spans="1:16" ht="10.5" customHeight="1" x14ac:dyDescent="0.25">
      <c r="A904" s="887"/>
      <c r="B904" s="888"/>
      <c r="C904" s="888"/>
      <c r="D904" s="888"/>
      <c r="E904" s="888"/>
      <c r="F904" s="888"/>
      <c r="G904" s="888"/>
      <c r="H904" s="888"/>
      <c r="I904" s="888"/>
      <c r="J904" s="888"/>
      <c r="K904" s="888"/>
      <c r="L904" s="888"/>
      <c r="M904" s="888"/>
      <c r="N904" s="888"/>
      <c r="O904" s="888"/>
      <c r="P904" s="889"/>
    </row>
    <row r="905" spans="1:16" ht="24" x14ac:dyDescent="0.25">
      <c r="A905" s="879" t="s">
        <v>1348</v>
      </c>
      <c r="B905" s="880" t="s">
        <v>1349</v>
      </c>
      <c r="C905" s="881" t="s">
        <v>1350</v>
      </c>
      <c r="D905" s="881" t="s">
        <v>1351</v>
      </c>
      <c r="E905" s="499">
        <v>12</v>
      </c>
      <c r="F905" s="499">
        <v>0</v>
      </c>
      <c r="G905" s="499">
        <v>0</v>
      </c>
      <c r="H905" s="499">
        <v>0</v>
      </c>
      <c r="I905" s="499">
        <v>12</v>
      </c>
      <c r="J905" s="499">
        <v>13</v>
      </c>
      <c r="K905" s="499">
        <v>25</v>
      </c>
      <c r="L905" s="499">
        <v>1</v>
      </c>
      <c r="M905" s="882">
        <v>3</v>
      </c>
      <c r="N905" s="854">
        <v>0.4</v>
      </c>
      <c r="O905" s="854">
        <v>0.6</v>
      </c>
      <c r="P905" s="883" t="s">
        <v>125</v>
      </c>
    </row>
    <row r="906" spans="1:16" x14ac:dyDescent="0.25">
      <c r="A906" s="879"/>
      <c r="B906" s="880"/>
      <c r="C906" s="881" t="s">
        <v>1352</v>
      </c>
      <c r="D906" s="881" t="s">
        <v>1353</v>
      </c>
      <c r="E906" s="881">
        <v>12</v>
      </c>
      <c r="F906" s="881">
        <v>0</v>
      </c>
      <c r="G906" s="881">
        <v>0</v>
      </c>
      <c r="H906" s="881">
        <v>0</v>
      </c>
      <c r="I906" s="881">
        <v>12</v>
      </c>
      <c r="J906" s="881">
        <v>13</v>
      </c>
      <c r="K906" s="499">
        <v>25</v>
      </c>
      <c r="L906" s="881">
        <v>1</v>
      </c>
      <c r="M906" s="882"/>
      <c r="N906" s="854">
        <v>0.4</v>
      </c>
      <c r="O906" s="854">
        <v>0.6</v>
      </c>
      <c r="P906" s="883"/>
    </row>
    <row r="907" spans="1:16" ht="24" x14ac:dyDescent="0.25">
      <c r="A907" s="879"/>
      <c r="B907" s="880"/>
      <c r="C907" s="881" t="s">
        <v>1354</v>
      </c>
      <c r="D907" s="881" t="s">
        <v>1355</v>
      </c>
      <c r="E907" s="881">
        <v>12</v>
      </c>
      <c r="F907" s="881">
        <v>0</v>
      </c>
      <c r="G907" s="881">
        <v>0</v>
      </c>
      <c r="H907" s="881"/>
      <c r="I907" s="881">
        <v>12</v>
      </c>
      <c r="J907" s="881">
        <v>13</v>
      </c>
      <c r="K907" s="499">
        <v>25</v>
      </c>
      <c r="L907" s="881">
        <v>1</v>
      </c>
      <c r="M907" s="882"/>
      <c r="N907" s="854">
        <v>0.4</v>
      </c>
      <c r="O907" s="854">
        <v>0.6</v>
      </c>
      <c r="P907" s="883"/>
    </row>
    <row r="908" spans="1:16" ht="15.75" thickBot="1" x14ac:dyDescent="0.3">
      <c r="A908" s="890" t="s">
        <v>1356</v>
      </c>
      <c r="B908" s="891"/>
      <c r="C908" s="891"/>
      <c r="D908" s="891"/>
      <c r="E908" s="892">
        <v>225</v>
      </c>
      <c r="F908" s="892">
        <v>36</v>
      </c>
      <c r="G908" s="892">
        <v>87</v>
      </c>
      <c r="H908" s="892">
        <v>12</v>
      </c>
      <c r="I908" s="892">
        <v>360</v>
      </c>
      <c r="J908" s="892">
        <v>390</v>
      </c>
      <c r="K908" s="892">
        <f>SUM(K905:K907,K903,K888:K901)</f>
        <v>750</v>
      </c>
      <c r="L908" s="893">
        <v>30</v>
      </c>
      <c r="M908" s="894"/>
      <c r="N908" s="895"/>
      <c r="O908" s="895"/>
      <c r="P908" s="896"/>
    </row>
    <row r="909" spans="1:16" x14ac:dyDescent="0.25">
      <c r="A909" s="842"/>
      <c r="C909" s="842"/>
      <c r="P909" s="709"/>
    </row>
    <row r="910" spans="1:16" x14ac:dyDescent="0.25">
      <c r="A910" s="842"/>
      <c r="C910" s="842"/>
      <c r="P910" s="709"/>
    </row>
    <row r="911" spans="1:16" x14ac:dyDescent="0.25">
      <c r="A911" s="842"/>
      <c r="C911" s="842"/>
      <c r="D911" s="473" t="s">
        <v>870</v>
      </c>
      <c r="P911" s="709"/>
    </row>
    <row r="912" spans="1:16" x14ac:dyDescent="0.25">
      <c r="C912" s="842"/>
      <c r="D912" s="897" t="s">
        <v>1357</v>
      </c>
      <c r="P912" s="709"/>
    </row>
    <row r="913" spans="1:16" ht="15.75" thickBot="1" x14ac:dyDescent="0.3">
      <c r="A913" s="842"/>
      <c r="C913" s="842"/>
      <c r="P913" s="709"/>
    </row>
    <row r="914" spans="1:16" x14ac:dyDescent="0.25">
      <c r="A914" s="829" t="s">
        <v>248</v>
      </c>
      <c r="B914" s="278"/>
      <c r="C914" s="278"/>
      <c r="D914" s="278"/>
      <c r="E914" s="870" t="s">
        <v>1296</v>
      </c>
      <c r="F914" s="870"/>
      <c r="G914" s="870"/>
      <c r="H914" s="870"/>
      <c r="I914" s="870"/>
      <c r="J914" s="870"/>
      <c r="K914" s="870"/>
      <c r="L914" s="871" t="s">
        <v>1297</v>
      </c>
      <c r="M914" s="871" t="s">
        <v>251</v>
      </c>
      <c r="N914" s="281" t="s">
        <v>11</v>
      </c>
      <c r="O914" s="281"/>
      <c r="P914" s="238" t="s">
        <v>12</v>
      </c>
    </row>
    <row r="915" spans="1:16" ht="24" x14ac:dyDescent="0.25">
      <c r="A915" s="898" t="s">
        <v>13</v>
      </c>
      <c r="B915" s="899" t="s">
        <v>1298</v>
      </c>
      <c r="C915" s="899" t="s">
        <v>15</v>
      </c>
      <c r="D915" s="900" t="s">
        <v>16</v>
      </c>
      <c r="E915" s="875" t="s">
        <v>17</v>
      </c>
      <c r="F915" s="875" t="s">
        <v>18</v>
      </c>
      <c r="G915" s="875" t="s">
        <v>19</v>
      </c>
      <c r="H915" s="875" t="s">
        <v>1299</v>
      </c>
      <c r="I915" s="875" t="s">
        <v>1300</v>
      </c>
      <c r="J915" s="875" t="s">
        <v>22</v>
      </c>
      <c r="K915" s="875" t="s">
        <v>1301</v>
      </c>
      <c r="L915" s="876"/>
      <c r="M915" s="876"/>
      <c r="N915" s="817" t="s">
        <v>24</v>
      </c>
      <c r="O915" s="817" t="s">
        <v>25</v>
      </c>
      <c r="P915" s="246"/>
    </row>
    <row r="916" spans="1:16" x14ac:dyDescent="0.25">
      <c r="A916" s="877" t="s">
        <v>1254</v>
      </c>
      <c r="B916" s="876"/>
      <c r="C916" s="876"/>
      <c r="D916" s="876"/>
      <c r="E916" s="876"/>
      <c r="F916" s="876"/>
      <c r="G916" s="876"/>
      <c r="H916" s="876"/>
      <c r="I916" s="876"/>
      <c r="J916" s="876"/>
      <c r="K916" s="876"/>
      <c r="L916" s="876"/>
      <c r="M916" s="876"/>
      <c r="N916" s="876"/>
      <c r="O916" s="876"/>
      <c r="P916" s="878"/>
    </row>
    <row r="917" spans="1:16" ht="24" x14ac:dyDescent="0.25">
      <c r="A917" s="901" t="s">
        <v>1358</v>
      </c>
      <c r="B917" s="880" t="s">
        <v>1359</v>
      </c>
      <c r="C917" s="881" t="s">
        <v>1360</v>
      </c>
      <c r="D917" s="881" t="s">
        <v>1361</v>
      </c>
      <c r="E917" s="499">
        <v>8</v>
      </c>
      <c r="F917" s="499">
        <v>8</v>
      </c>
      <c r="G917" s="499">
        <v>8</v>
      </c>
      <c r="H917" s="499">
        <v>0</v>
      </c>
      <c r="I917" s="499">
        <v>24</v>
      </c>
      <c r="J917" s="499">
        <v>26</v>
      </c>
      <c r="K917" s="499">
        <v>50</v>
      </c>
      <c r="L917" s="499">
        <v>2</v>
      </c>
      <c r="M917" s="882">
        <v>4</v>
      </c>
      <c r="N917" s="854">
        <v>0.4</v>
      </c>
      <c r="O917" s="854">
        <v>0.6</v>
      </c>
      <c r="P917" s="883" t="s">
        <v>1362</v>
      </c>
    </row>
    <row r="918" spans="1:16" ht="24" x14ac:dyDescent="0.25">
      <c r="A918" s="901"/>
      <c r="B918" s="880"/>
      <c r="C918" s="881" t="s">
        <v>1363</v>
      </c>
      <c r="D918" s="881" t="s">
        <v>1364</v>
      </c>
      <c r="E918" s="499">
        <v>10</v>
      </c>
      <c r="F918" s="499">
        <v>7</v>
      </c>
      <c r="G918" s="499">
        <v>7</v>
      </c>
      <c r="H918" s="499">
        <v>0</v>
      </c>
      <c r="I918" s="499">
        <v>24</v>
      </c>
      <c r="J918" s="499">
        <v>26</v>
      </c>
      <c r="K918" s="499">
        <v>50</v>
      </c>
      <c r="L918" s="499">
        <v>2</v>
      </c>
      <c r="M918" s="882"/>
      <c r="N918" s="854">
        <v>0.4</v>
      </c>
      <c r="O918" s="854">
        <v>0.6</v>
      </c>
      <c r="P918" s="883"/>
    </row>
    <row r="919" spans="1:16" ht="21.75" customHeight="1" x14ac:dyDescent="0.25">
      <c r="A919" s="901" t="s">
        <v>1365</v>
      </c>
      <c r="B919" s="880" t="s">
        <v>1366</v>
      </c>
      <c r="C919" s="881" t="s">
        <v>1367</v>
      </c>
      <c r="D919" s="881" t="s">
        <v>1368</v>
      </c>
      <c r="E919" s="499">
        <v>9</v>
      </c>
      <c r="F919" s="499">
        <v>5</v>
      </c>
      <c r="G919" s="499">
        <v>10</v>
      </c>
      <c r="H919" s="499">
        <v>0</v>
      </c>
      <c r="I919" s="499">
        <v>24</v>
      </c>
      <c r="J919" s="499">
        <v>26</v>
      </c>
      <c r="K919" s="499">
        <v>50</v>
      </c>
      <c r="L919" s="499">
        <v>2</v>
      </c>
      <c r="M919" s="882">
        <v>4</v>
      </c>
      <c r="N919" s="854">
        <v>0.4</v>
      </c>
      <c r="O919" s="854">
        <v>0.6</v>
      </c>
      <c r="P919" s="883" t="s">
        <v>1369</v>
      </c>
    </row>
    <row r="920" spans="1:16" ht="21.75" customHeight="1" x14ac:dyDescent="0.25">
      <c r="A920" s="901"/>
      <c r="B920" s="880"/>
      <c r="C920" s="881" t="s">
        <v>1370</v>
      </c>
      <c r="D920" s="881" t="s">
        <v>1371</v>
      </c>
      <c r="E920" s="499">
        <v>9</v>
      </c>
      <c r="F920" s="499">
        <v>5</v>
      </c>
      <c r="G920" s="499">
        <v>10</v>
      </c>
      <c r="H920" s="499">
        <v>0</v>
      </c>
      <c r="I920" s="499">
        <v>24</v>
      </c>
      <c r="J920" s="499">
        <v>26</v>
      </c>
      <c r="K920" s="499">
        <v>50</v>
      </c>
      <c r="L920" s="499">
        <v>2</v>
      </c>
      <c r="M920" s="882"/>
      <c r="N920" s="854">
        <v>0.4</v>
      </c>
      <c r="O920" s="854">
        <v>0.6</v>
      </c>
      <c r="P920" s="883"/>
    </row>
    <row r="921" spans="1:16" ht="21.75" customHeight="1" x14ac:dyDescent="0.25">
      <c r="A921" s="901" t="s">
        <v>721</v>
      </c>
      <c r="B921" s="880" t="s">
        <v>1372</v>
      </c>
      <c r="C921" s="881" t="s">
        <v>723</v>
      </c>
      <c r="D921" s="881" t="s">
        <v>722</v>
      </c>
      <c r="E921" s="499">
        <v>24</v>
      </c>
      <c r="F921" s="499">
        <v>0</v>
      </c>
      <c r="G921" s="499">
        <v>0</v>
      </c>
      <c r="H921" s="499">
        <v>24</v>
      </c>
      <c r="I921" s="499">
        <v>48</v>
      </c>
      <c r="J921" s="499">
        <v>52</v>
      </c>
      <c r="K921" s="499">
        <v>100</v>
      </c>
      <c r="L921" s="499">
        <v>4</v>
      </c>
      <c r="M921" s="882">
        <v>5</v>
      </c>
      <c r="N921" s="854">
        <v>0.4</v>
      </c>
      <c r="O921" s="854">
        <v>0.6</v>
      </c>
      <c r="P921" s="883" t="s">
        <v>1362</v>
      </c>
    </row>
    <row r="922" spans="1:16" ht="21.75" customHeight="1" x14ac:dyDescent="0.25">
      <c r="A922" s="901"/>
      <c r="B922" s="880"/>
      <c r="C922" s="881" t="s">
        <v>726</v>
      </c>
      <c r="D922" s="881" t="s">
        <v>1373</v>
      </c>
      <c r="E922" s="499">
        <v>12</v>
      </c>
      <c r="F922" s="499">
        <v>0</v>
      </c>
      <c r="G922" s="499">
        <v>0</v>
      </c>
      <c r="H922" s="499">
        <v>0</v>
      </c>
      <c r="I922" s="499">
        <v>12</v>
      </c>
      <c r="J922" s="499">
        <v>13</v>
      </c>
      <c r="K922" s="499">
        <v>25</v>
      </c>
      <c r="L922" s="499">
        <v>1</v>
      </c>
      <c r="M922" s="882"/>
      <c r="N922" s="854">
        <v>0.4</v>
      </c>
      <c r="O922" s="854">
        <v>0.6</v>
      </c>
      <c r="P922" s="883"/>
    </row>
    <row r="923" spans="1:16" ht="24" x14ac:dyDescent="0.25">
      <c r="A923" s="901" t="s">
        <v>1374</v>
      </c>
      <c r="B923" s="880" t="s">
        <v>1375</v>
      </c>
      <c r="C923" s="881" t="s">
        <v>1376</v>
      </c>
      <c r="D923" s="881" t="s">
        <v>1377</v>
      </c>
      <c r="E923" s="499">
        <v>12</v>
      </c>
      <c r="F923" s="499">
        <v>0</v>
      </c>
      <c r="G923" s="499">
        <v>0</v>
      </c>
      <c r="H923" s="499">
        <v>12</v>
      </c>
      <c r="I923" s="499">
        <v>24</v>
      </c>
      <c r="J923" s="499">
        <v>26</v>
      </c>
      <c r="K923" s="499">
        <v>50</v>
      </c>
      <c r="L923" s="499">
        <v>2</v>
      </c>
      <c r="M923" s="882">
        <v>6</v>
      </c>
      <c r="N923" s="854">
        <v>0.4</v>
      </c>
      <c r="O923" s="854">
        <v>0.6</v>
      </c>
      <c r="P923" s="883" t="s">
        <v>1362</v>
      </c>
    </row>
    <row r="924" spans="1:16" ht="24" x14ac:dyDescent="0.25">
      <c r="A924" s="901"/>
      <c r="B924" s="880"/>
      <c r="C924" s="881" t="s">
        <v>1378</v>
      </c>
      <c r="D924" s="881" t="s">
        <v>1379</v>
      </c>
      <c r="E924" s="499">
        <v>12</v>
      </c>
      <c r="F924" s="499">
        <v>0</v>
      </c>
      <c r="G924" s="499">
        <v>0</v>
      </c>
      <c r="H924" s="499">
        <v>12</v>
      </c>
      <c r="I924" s="499">
        <v>24</v>
      </c>
      <c r="J924" s="499">
        <v>26</v>
      </c>
      <c r="K924" s="499">
        <v>50</v>
      </c>
      <c r="L924" s="499">
        <v>2</v>
      </c>
      <c r="M924" s="882"/>
      <c r="N924" s="854">
        <v>0.4</v>
      </c>
      <c r="O924" s="854">
        <v>0.6</v>
      </c>
      <c r="P924" s="883"/>
    </row>
    <row r="925" spans="1:16" ht="24" x14ac:dyDescent="0.25">
      <c r="A925" s="901"/>
      <c r="B925" s="880"/>
      <c r="C925" s="881" t="s">
        <v>1380</v>
      </c>
      <c r="D925" s="881" t="s">
        <v>1381</v>
      </c>
      <c r="E925" s="499">
        <v>12</v>
      </c>
      <c r="F925" s="499">
        <v>0</v>
      </c>
      <c r="G925" s="499">
        <v>0</v>
      </c>
      <c r="H925" s="499">
        <v>12</v>
      </c>
      <c r="I925" s="499">
        <v>24</v>
      </c>
      <c r="J925" s="499">
        <v>26</v>
      </c>
      <c r="K925" s="499">
        <v>50</v>
      </c>
      <c r="L925" s="499">
        <v>2</v>
      </c>
      <c r="M925" s="882"/>
      <c r="N925" s="854">
        <v>0.4</v>
      </c>
      <c r="O925" s="854">
        <v>0.6</v>
      </c>
      <c r="P925" s="883"/>
    </row>
    <row r="926" spans="1:16" ht="24" x14ac:dyDescent="0.25">
      <c r="A926" s="901" t="s">
        <v>1382</v>
      </c>
      <c r="B926" s="880" t="s">
        <v>1383</v>
      </c>
      <c r="C926" s="881" t="s">
        <v>1384</v>
      </c>
      <c r="D926" s="881" t="s">
        <v>1385</v>
      </c>
      <c r="E926" s="499">
        <v>17</v>
      </c>
      <c r="F926" s="499">
        <v>7</v>
      </c>
      <c r="G926" s="499">
        <v>0</v>
      </c>
      <c r="H926" s="499">
        <v>0</v>
      </c>
      <c r="I926" s="499">
        <v>24</v>
      </c>
      <c r="J926" s="499">
        <v>26</v>
      </c>
      <c r="K926" s="499">
        <v>50</v>
      </c>
      <c r="L926" s="499">
        <v>2</v>
      </c>
      <c r="M926" s="882">
        <v>5</v>
      </c>
      <c r="N926" s="854">
        <v>0.4</v>
      </c>
      <c r="O926" s="854">
        <v>0.6</v>
      </c>
      <c r="P926" s="883" t="s">
        <v>1347</v>
      </c>
    </row>
    <row r="927" spans="1:16" ht="24" x14ac:dyDescent="0.25">
      <c r="A927" s="901"/>
      <c r="B927" s="880"/>
      <c r="C927" s="881" t="s">
        <v>1386</v>
      </c>
      <c r="D927" s="881" t="s">
        <v>1387</v>
      </c>
      <c r="E927" s="499">
        <v>26</v>
      </c>
      <c r="F927" s="499">
        <v>10</v>
      </c>
      <c r="G927" s="499">
        <v>0</v>
      </c>
      <c r="H927" s="499">
        <v>0</v>
      </c>
      <c r="I927" s="499">
        <v>36</v>
      </c>
      <c r="J927" s="499">
        <v>39</v>
      </c>
      <c r="K927" s="499">
        <v>75</v>
      </c>
      <c r="L927" s="499">
        <v>3</v>
      </c>
      <c r="M927" s="882"/>
      <c r="N927" s="854">
        <v>0.4</v>
      </c>
      <c r="O927" s="854">
        <v>0.6</v>
      </c>
      <c r="P927" s="883"/>
    </row>
    <row r="928" spans="1:16" x14ac:dyDescent="0.25">
      <c r="A928" s="877" t="s">
        <v>1263</v>
      </c>
      <c r="B928" s="876"/>
      <c r="C928" s="876"/>
      <c r="D928" s="876"/>
      <c r="E928" s="876"/>
      <c r="F928" s="876"/>
      <c r="G928" s="876"/>
      <c r="H928" s="876"/>
      <c r="I928" s="876"/>
      <c r="J928" s="876"/>
      <c r="K928" s="876"/>
      <c r="L928" s="876"/>
      <c r="M928" s="876"/>
      <c r="N928" s="876"/>
      <c r="O928" s="876"/>
      <c r="P928" s="878"/>
    </row>
    <row r="929" spans="1:16" ht="24" x14ac:dyDescent="0.25">
      <c r="A929" s="885" t="s">
        <v>1388</v>
      </c>
      <c r="B929" s="881" t="s">
        <v>1389</v>
      </c>
      <c r="C929" s="881" t="s">
        <v>1388</v>
      </c>
      <c r="D929" s="881" t="s">
        <v>1390</v>
      </c>
      <c r="E929" s="499">
        <v>12</v>
      </c>
      <c r="F929" s="499">
        <v>0</v>
      </c>
      <c r="G929" s="499">
        <v>12</v>
      </c>
      <c r="H929" s="499">
        <v>0</v>
      </c>
      <c r="I929" s="499">
        <v>24</v>
      </c>
      <c r="J929" s="499">
        <v>26</v>
      </c>
      <c r="K929" s="499">
        <v>50</v>
      </c>
      <c r="L929" s="499">
        <v>2</v>
      </c>
      <c r="M929" s="499">
        <v>2</v>
      </c>
      <c r="N929" s="854">
        <v>0.4</v>
      </c>
      <c r="O929" s="854">
        <v>0.6</v>
      </c>
      <c r="P929" s="29" t="s">
        <v>1391</v>
      </c>
    </row>
    <row r="930" spans="1:16" x14ac:dyDescent="0.25">
      <c r="A930" s="887" t="s">
        <v>1281</v>
      </c>
      <c r="B930" s="888"/>
      <c r="C930" s="888"/>
      <c r="D930" s="888"/>
      <c r="E930" s="888"/>
      <c r="F930" s="888"/>
      <c r="G930" s="888"/>
      <c r="H930" s="888"/>
      <c r="I930" s="888"/>
      <c r="J930" s="888"/>
      <c r="K930" s="888"/>
      <c r="L930" s="888"/>
      <c r="M930" s="888"/>
      <c r="N930" s="31"/>
      <c r="O930" s="31"/>
      <c r="P930" s="29"/>
    </row>
    <row r="931" spans="1:16" ht="24" x14ac:dyDescent="0.25">
      <c r="A931" s="885" t="s">
        <v>1392</v>
      </c>
      <c r="B931" s="881" t="s">
        <v>1393</v>
      </c>
      <c r="C931" s="881" t="s">
        <v>1394</v>
      </c>
      <c r="D931" s="881" t="s">
        <v>1395</v>
      </c>
      <c r="E931" s="499">
        <v>12</v>
      </c>
      <c r="F931" s="499">
        <v>0</v>
      </c>
      <c r="G931" s="499">
        <v>0</v>
      </c>
      <c r="H931" s="881">
        <v>12</v>
      </c>
      <c r="I931" s="499">
        <v>24</v>
      </c>
      <c r="J931" s="499">
        <v>26</v>
      </c>
      <c r="K931" s="499">
        <v>50</v>
      </c>
      <c r="L931" s="499">
        <v>2</v>
      </c>
      <c r="M931" s="499">
        <v>2</v>
      </c>
      <c r="N931" s="854">
        <v>0.4</v>
      </c>
      <c r="O931" s="854">
        <v>0.6</v>
      </c>
      <c r="P931" s="29" t="s">
        <v>1396</v>
      </c>
    </row>
    <row r="932" spans="1:16" ht="24" x14ac:dyDescent="0.25">
      <c r="A932" s="885" t="s">
        <v>1397</v>
      </c>
      <c r="B932" s="881" t="s">
        <v>1398</v>
      </c>
      <c r="C932" s="881" t="s">
        <v>1397</v>
      </c>
      <c r="D932" s="881" t="s">
        <v>1399</v>
      </c>
      <c r="E932" s="499">
        <v>12</v>
      </c>
      <c r="F932" s="499">
        <v>0</v>
      </c>
      <c r="G932" s="499">
        <v>12</v>
      </c>
      <c r="H932" s="499">
        <v>0</v>
      </c>
      <c r="I932" s="499">
        <v>24</v>
      </c>
      <c r="J932" s="499">
        <v>26</v>
      </c>
      <c r="K932" s="499">
        <v>50</v>
      </c>
      <c r="L932" s="499">
        <v>2</v>
      </c>
      <c r="M932" s="499">
        <v>2</v>
      </c>
      <c r="N932" s="854">
        <v>0.4</v>
      </c>
      <c r="O932" s="854">
        <v>0.6</v>
      </c>
      <c r="P932" s="29" t="s">
        <v>1396</v>
      </c>
    </row>
    <row r="933" spans="1:16" ht="15.75" thickBot="1" x14ac:dyDescent="0.3">
      <c r="A933" s="890" t="s">
        <v>1400</v>
      </c>
      <c r="B933" s="891"/>
      <c r="C933" s="891"/>
      <c r="D933" s="891"/>
      <c r="E933" s="892">
        <v>189</v>
      </c>
      <c r="F933" s="892">
        <v>42</v>
      </c>
      <c r="G933" s="892">
        <v>59</v>
      </c>
      <c r="H933" s="892">
        <v>72</v>
      </c>
      <c r="I933" s="892">
        <v>360</v>
      </c>
      <c r="J933" s="892">
        <v>390</v>
      </c>
      <c r="K933" s="892">
        <v>750</v>
      </c>
      <c r="L933" s="893">
        <v>30</v>
      </c>
      <c r="M933" s="894"/>
      <c r="N933" s="895"/>
      <c r="O933" s="895"/>
      <c r="P933" s="896"/>
    </row>
    <row r="934" spans="1:16" x14ac:dyDescent="0.25">
      <c r="A934" s="842"/>
      <c r="C934" s="842"/>
      <c r="P934" s="709"/>
    </row>
    <row r="935" spans="1:16" x14ac:dyDescent="0.25">
      <c r="A935" s="842"/>
      <c r="C935" s="842"/>
      <c r="P935" s="709"/>
    </row>
    <row r="936" spans="1:16" x14ac:dyDescent="0.25">
      <c r="A936" s="842"/>
      <c r="C936" s="842"/>
      <c r="P936" s="709"/>
    </row>
    <row r="937" spans="1:16" ht="18.75" x14ac:dyDescent="0.25">
      <c r="A937" s="902"/>
      <c r="C937" s="842"/>
      <c r="D937" s="473" t="s">
        <v>870</v>
      </c>
      <c r="P937" s="709"/>
    </row>
    <row r="938" spans="1:16" ht="15.75" thickBot="1" x14ac:dyDescent="0.3">
      <c r="A938" s="842"/>
      <c r="C938" s="842"/>
      <c r="D938" s="897" t="s">
        <v>1401</v>
      </c>
      <c r="P938" s="709"/>
    </row>
    <row r="939" spans="1:16" x14ac:dyDescent="0.25">
      <c r="A939" s="829" t="s">
        <v>248</v>
      </c>
      <c r="B939" s="278"/>
      <c r="C939" s="278"/>
      <c r="D939" s="278"/>
      <c r="E939" s="870" t="s">
        <v>1296</v>
      </c>
      <c r="F939" s="870"/>
      <c r="G939" s="870"/>
      <c r="H939" s="870"/>
      <c r="I939" s="870"/>
      <c r="J939" s="870"/>
      <c r="K939" s="870"/>
      <c r="L939" s="870" t="s">
        <v>1297</v>
      </c>
      <c r="M939" s="870" t="s">
        <v>251</v>
      </c>
      <c r="N939" s="281" t="s">
        <v>11</v>
      </c>
      <c r="O939" s="281"/>
      <c r="P939" s="238" t="s">
        <v>12</v>
      </c>
    </row>
    <row r="940" spans="1:16" ht="24" x14ac:dyDescent="0.25">
      <c r="A940" s="903" t="s">
        <v>1402</v>
      </c>
      <c r="B940" s="899" t="s">
        <v>1298</v>
      </c>
      <c r="C940" s="899" t="s">
        <v>15</v>
      </c>
      <c r="D940" s="899" t="s">
        <v>16</v>
      </c>
      <c r="E940" s="874" t="s">
        <v>17</v>
      </c>
      <c r="F940" s="874" t="s">
        <v>18</v>
      </c>
      <c r="G940" s="874" t="s">
        <v>19</v>
      </c>
      <c r="H940" s="874" t="s">
        <v>1299</v>
      </c>
      <c r="I940" s="874" t="s">
        <v>1403</v>
      </c>
      <c r="J940" s="874" t="s">
        <v>22</v>
      </c>
      <c r="K940" s="874" t="s">
        <v>1301</v>
      </c>
      <c r="L940" s="888"/>
      <c r="M940" s="888"/>
      <c r="N940" s="817" t="s">
        <v>24</v>
      </c>
      <c r="O940" s="817" t="s">
        <v>25</v>
      </c>
      <c r="P940" s="246"/>
    </row>
    <row r="941" spans="1:16" x14ac:dyDescent="0.25">
      <c r="A941" s="887" t="s">
        <v>1254</v>
      </c>
      <c r="B941" s="888"/>
      <c r="C941" s="888"/>
      <c r="D941" s="888"/>
      <c r="E941" s="888"/>
      <c r="F941" s="888"/>
      <c r="G941" s="888"/>
      <c r="H941" s="888"/>
      <c r="I941" s="888"/>
      <c r="J941" s="888"/>
      <c r="K941" s="888"/>
      <c r="L941" s="888"/>
      <c r="M941" s="888"/>
      <c r="N941" s="888"/>
      <c r="O941" s="888"/>
      <c r="P941" s="889"/>
    </row>
    <row r="942" spans="1:16" ht="24" x14ac:dyDescent="0.25">
      <c r="A942" s="904" t="s">
        <v>1358</v>
      </c>
      <c r="B942" s="905" t="s">
        <v>1359</v>
      </c>
      <c r="C942" s="906" t="s">
        <v>1360</v>
      </c>
      <c r="D942" s="906" t="s">
        <v>1361</v>
      </c>
      <c r="E942" s="492">
        <v>8</v>
      </c>
      <c r="F942" s="492">
        <v>8</v>
      </c>
      <c r="G942" s="492">
        <v>8</v>
      </c>
      <c r="H942" s="492">
        <v>0</v>
      </c>
      <c r="I942" s="492">
        <v>24</v>
      </c>
      <c r="J942" s="492">
        <v>26</v>
      </c>
      <c r="K942" s="492">
        <v>50</v>
      </c>
      <c r="L942" s="492">
        <v>2</v>
      </c>
      <c r="M942" s="498">
        <v>4</v>
      </c>
      <c r="N942" s="854">
        <v>0.4</v>
      </c>
      <c r="O942" s="854">
        <v>0.6</v>
      </c>
      <c r="P942" s="883" t="s">
        <v>1362</v>
      </c>
    </row>
    <row r="943" spans="1:16" ht="24" x14ac:dyDescent="0.25">
      <c r="A943" s="904"/>
      <c r="B943" s="905"/>
      <c r="C943" s="906" t="s">
        <v>1363</v>
      </c>
      <c r="D943" s="906" t="s">
        <v>1364</v>
      </c>
      <c r="E943" s="492">
        <v>10</v>
      </c>
      <c r="F943" s="492">
        <v>7</v>
      </c>
      <c r="G943" s="492">
        <v>7</v>
      </c>
      <c r="H943" s="492">
        <v>0</v>
      </c>
      <c r="I943" s="492">
        <v>24</v>
      </c>
      <c r="J943" s="492">
        <v>26</v>
      </c>
      <c r="K943" s="492">
        <v>50</v>
      </c>
      <c r="L943" s="492">
        <v>2</v>
      </c>
      <c r="M943" s="498"/>
      <c r="N943" s="854">
        <v>0.4</v>
      </c>
      <c r="O943" s="854">
        <v>0.6</v>
      </c>
      <c r="P943" s="883"/>
    </row>
    <row r="944" spans="1:16" x14ac:dyDescent="0.25">
      <c r="A944" s="904" t="s">
        <v>1365</v>
      </c>
      <c r="B944" s="905" t="s">
        <v>1366</v>
      </c>
      <c r="C944" s="906" t="s">
        <v>1367</v>
      </c>
      <c r="D944" s="906" t="s">
        <v>1368</v>
      </c>
      <c r="E944" s="492">
        <v>9</v>
      </c>
      <c r="F944" s="492">
        <v>5</v>
      </c>
      <c r="G944" s="492">
        <v>10</v>
      </c>
      <c r="H944" s="492">
        <v>0</v>
      </c>
      <c r="I944" s="492">
        <v>24</v>
      </c>
      <c r="J944" s="492">
        <v>26</v>
      </c>
      <c r="K944" s="492">
        <v>50</v>
      </c>
      <c r="L944" s="492">
        <v>2</v>
      </c>
      <c r="M944" s="498">
        <v>4</v>
      </c>
      <c r="N944" s="854">
        <v>0.4</v>
      </c>
      <c r="O944" s="854">
        <v>0.6</v>
      </c>
      <c r="P944" s="883" t="s">
        <v>1369</v>
      </c>
    </row>
    <row r="945" spans="1:16" x14ac:dyDescent="0.25">
      <c r="A945" s="904"/>
      <c r="B945" s="905"/>
      <c r="C945" s="906" t="s">
        <v>1370</v>
      </c>
      <c r="D945" s="906" t="s">
        <v>1371</v>
      </c>
      <c r="E945" s="492">
        <v>9</v>
      </c>
      <c r="F945" s="492">
        <v>5</v>
      </c>
      <c r="G945" s="492">
        <v>10</v>
      </c>
      <c r="H945" s="492">
        <v>0</v>
      </c>
      <c r="I945" s="492">
        <v>24</v>
      </c>
      <c r="J945" s="492">
        <v>26</v>
      </c>
      <c r="K945" s="492">
        <v>50</v>
      </c>
      <c r="L945" s="492">
        <v>2</v>
      </c>
      <c r="M945" s="498"/>
      <c r="N945" s="854">
        <v>0.4</v>
      </c>
      <c r="O945" s="854">
        <v>0.6</v>
      </c>
      <c r="P945" s="883"/>
    </row>
    <row r="946" spans="1:16" ht="24" x14ac:dyDescent="0.25">
      <c r="A946" s="904" t="s">
        <v>1404</v>
      </c>
      <c r="B946" s="905" t="s">
        <v>1405</v>
      </c>
      <c r="C946" s="906" t="s">
        <v>1406</v>
      </c>
      <c r="D946" s="906" t="s">
        <v>1407</v>
      </c>
      <c r="E946" s="492">
        <v>24</v>
      </c>
      <c r="F946" s="492">
        <v>0</v>
      </c>
      <c r="G946" s="492">
        <v>0</v>
      </c>
      <c r="H946" s="492">
        <v>24</v>
      </c>
      <c r="I946" s="492">
        <v>48</v>
      </c>
      <c r="J946" s="492">
        <v>52</v>
      </c>
      <c r="K946" s="492">
        <v>100</v>
      </c>
      <c r="L946" s="492">
        <v>4</v>
      </c>
      <c r="M946" s="498">
        <v>5</v>
      </c>
      <c r="N946" s="854">
        <v>0.4</v>
      </c>
      <c r="O946" s="854">
        <v>0.6</v>
      </c>
      <c r="P946" s="884" t="s">
        <v>1408</v>
      </c>
    </row>
    <row r="947" spans="1:16" ht="24" x14ac:dyDescent="0.25">
      <c r="A947" s="904"/>
      <c r="B947" s="905"/>
      <c r="C947" s="906" t="s">
        <v>1409</v>
      </c>
      <c r="D947" s="906" t="s">
        <v>1410</v>
      </c>
      <c r="E947" s="492">
        <v>12</v>
      </c>
      <c r="F947" s="492">
        <v>0</v>
      </c>
      <c r="G947" s="492">
        <v>0</v>
      </c>
      <c r="H947" s="492">
        <v>0</v>
      </c>
      <c r="I947" s="492">
        <v>12</v>
      </c>
      <c r="J947" s="492">
        <v>13</v>
      </c>
      <c r="K947" s="492">
        <v>25</v>
      </c>
      <c r="L947" s="492">
        <v>1</v>
      </c>
      <c r="M947" s="498"/>
      <c r="N947" s="854">
        <v>0.4</v>
      </c>
      <c r="O947" s="854">
        <v>0.6</v>
      </c>
      <c r="P947" s="884"/>
    </row>
    <row r="948" spans="1:16" ht="24" x14ac:dyDescent="0.25">
      <c r="A948" s="904" t="s">
        <v>1411</v>
      </c>
      <c r="B948" s="905" t="s">
        <v>1412</v>
      </c>
      <c r="C948" s="907" t="s">
        <v>1413</v>
      </c>
      <c r="D948" s="906" t="s">
        <v>1414</v>
      </c>
      <c r="E948" s="492">
        <v>12</v>
      </c>
      <c r="F948" s="492">
        <v>0</v>
      </c>
      <c r="G948" s="492">
        <v>0</v>
      </c>
      <c r="H948" s="492">
        <v>24</v>
      </c>
      <c r="I948" s="492">
        <v>36</v>
      </c>
      <c r="J948" s="492">
        <v>39</v>
      </c>
      <c r="K948" s="492">
        <v>75</v>
      </c>
      <c r="L948" s="492">
        <v>3</v>
      </c>
      <c r="M948" s="498">
        <v>6</v>
      </c>
      <c r="N948" s="854">
        <v>0.4</v>
      </c>
      <c r="O948" s="854">
        <v>0.6</v>
      </c>
      <c r="P948" s="884" t="s">
        <v>1315</v>
      </c>
    </row>
    <row r="949" spans="1:16" x14ac:dyDescent="0.25">
      <c r="A949" s="904"/>
      <c r="B949" s="905"/>
      <c r="C949" s="908" t="s">
        <v>1415</v>
      </c>
      <c r="D949" s="498" t="s">
        <v>164</v>
      </c>
      <c r="E949" s="498">
        <v>12</v>
      </c>
      <c r="F949" s="498">
        <v>0</v>
      </c>
      <c r="G949" s="498">
        <v>0</v>
      </c>
      <c r="H949" s="498">
        <v>0</v>
      </c>
      <c r="I949" s="498">
        <v>12</v>
      </c>
      <c r="J949" s="498">
        <v>13</v>
      </c>
      <c r="K949" s="498">
        <v>25</v>
      </c>
      <c r="L949" s="498">
        <v>1</v>
      </c>
      <c r="M949" s="498"/>
      <c r="N949" s="854">
        <v>0.4</v>
      </c>
      <c r="O949" s="854">
        <v>0.6</v>
      </c>
      <c r="P949" s="884"/>
    </row>
    <row r="950" spans="1:16" x14ac:dyDescent="0.25">
      <c r="A950" s="904"/>
      <c r="B950" s="905"/>
      <c r="C950" s="908"/>
      <c r="D950" s="498"/>
      <c r="E950" s="498"/>
      <c r="F950" s="498"/>
      <c r="G950" s="498"/>
      <c r="H950" s="498"/>
      <c r="I950" s="498"/>
      <c r="J950" s="498"/>
      <c r="K950" s="498"/>
      <c r="L950" s="498"/>
      <c r="M950" s="498"/>
      <c r="N950" s="854">
        <v>0.4</v>
      </c>
      <c r="O950" s="854">
        <v>0.6</v>
      </c>
      <c r="P950" s="884"/>
    </row>
    <row r="951" spans="1:16" ht="24" x14ac:dyDescent="0.25">
      <c r="A951" s="904"/>
      <c r="B951" s="905"/>
      <c r="C951" s="907" t="s">
        <v>1416</v>
      </c>
      <c r="D951" s="906" t="s">
        <v>1417</v>
      </c>
      <c r="E951" s="492">
        <v>12</v>
      </c>
      <c r="F951" s="492">
        <v>0</v>
      </c>
      <c r="G951" s="492">
        <v>0</v>
      </c>
      <c r="H951" s="492">
        <v>12</v>
      </c>
      <c r="I951" s="492">
        <v>24</v>
      </c>
      <c r="J951" s="492">
        <v>26</v>
      </c>
      <c r="K951" s="492">
        <v>50</v>
      </c>
      <c r="L951" s="492">
        <v>2</v>
      </c>
      <c r="M951" s="498"/>
      <c r="N951" s="854">
        <v>0.4</v>
      </c>
      <c r="O951" s="854">
        <v>0.6</v>
      </c>
      <c r="P951" s="884"/>
    </row>
    <row r="952" spans="1:16" ht="24" x14ac:dyDescent="0.25">
      <c r="A952" s="904" t="s">
        <v>1418</v>
      </c>
      <c r="B952" s="905" t="s">
        <v>1419</v>
      </c>
      <c r="C952" s="906" t="s">
        <v>1420</v>
      </c>
      <c r="D952" s="906" t="s">
        <v>1421</v>
      </c>
      <c r="E952" s="492">
        <v>12</v>
      </c>
      <c r="F952" s="492">
        <v>0</v>
      </c>
      <c r="G952" s="492">
        <v>0</v>
      </c>
      <c r="H952" s="492">
        <v>12</v>
      </c>
      <c r="I952" s="492">
        <v>24</v>
      </c>
      <c r="J952" s="492">
        <v>25</v>
      </c>
      <c r="K952" s="492">
        <v>50</v>
      </c>
      <c r="L952" s="492">
        <v>2</v>
      </c>
      <c r="M952" s="498">
        <v>5</v>
      </c>
      <c r="N952" s="854">
        <v>0.4</v>
      </c>
      <c r="O952" s="854">
        <v>0.6</v>
      </c>
      <c r="P952" s="883" t="s">
        <v>1422</v>
      </c>
    </row>
    <row r="953" spans="1:16" x14ac:dyDescent="0.25">
      <c r="A953" s="904"/>
      <c r="B953" s="905"/>
      <c r="C953" s="906" t="s">
        <v>1423</v>
      </c>
      <c r="D953" s="906" t="s">
        <v>1424</v>
      </c>
      <c r="E953" s="492">
        <v>14</v>
      </c>
      <c r="F953" s="492">
        <v>0</v>
      </c>
      <c r="G953" s="492">
        <v>0</v>
      </c>
      <c r="H953" s="492">
        <v>10</v>
      </c>
      <c r="I953" s="492">
        <v>24</v>
      </c>
      <c r="J953" s="492">
        <v>26</v>
      </c>
      <c r="K953" s="492">
        <v>50</v>
      </c>
      <c r="L953" s="492">
        <v>2</v>
      </c>
      <c r="M953" s="498"/>
      <c r="N953" s="854">
        <v>0.4</v>
      </c>
      <c r="O953" s="854">
        <v>0.6</v>
      </c>
      <c r="P953" s="883"/>
    </row>
    <row r="954" spans="1:16" x14ac:dyDescent="0.25">
      <c r="A954" s="904"/>
      <c r="B954" s="905"/>
      <c r="C954" s="906" t="s">
        <v>1425</v>
      </c>
      <c r="D954" s="906" t="s">
        <v>1426</v>
      </c>
      <c r="E954" s="492">
        <v>12</v>
      </c>
      <c r="F954" s="492">
        <v>0</v>
      </c>
      <c r="G954" s="492">
        <v>0</v>
      </c>
      <c r="H954" s="492">
        <v>0</v>
      </c>
      <c r="I954" s="492">
        <v>12</v>
      </c>
      <c r="J954" s="492">
        <v>13</v>
      </c>
      <c r="K954" s="492">
        <v>25</v>
      </c>
      <c r="L954" s="492">
        <v>1</v>
      </c>
      <c r="M954" s="498"/>
      <c r="N954" s="854">
        <v>0.4</v>
      </c>
      <c r="O954" s="854">
        <v>0.6</v>
      </c>
      <c r="P954" s="883"/>
    </row>
    <row r="955" spans="1:16" x14ac:dyDescent="0.25">
      <c r="A955" s="887"/>
      <c r="B955" s="888"/>
      <c r="C955" s="888"/>
      <c r="D955" s="888"/>
      <c r="E955" s="888"/>
      <c r="F955" s="888"/>
      <c r="G955" s="888"/>
      <c r="H955" s="888"/>
      <c r="I955" s="888"/>
      <c r="J955" s="888"/>
      <c r="K955" s="888"/>
      <c r="L955" s="888"/>
      <c r="M955" s="888"/>
      <c r="N955" s="888"/>
      <c r="O955" s="888"/>
      <c r="P955" s="889"/>
    </row>
    <row r="956" spans="1:16" ht="24" x14ac:dyDescent="0.25">
      <c r="A956" s="909" t="s">
        <v>1427</v>
      </c>
      <c r="B956" s="881" t="s">
        <v>1428</v>
      </c>
      <c r="C956" s="881" t="s">
        <v>1427</v>
      </c>
      <c r="D956" s="906" t="s">
        <v>1429</v>
      </c>
      <c r="E956" s="492">
        <v>12</v>
      </c>
      <c r="F956" s="492">
        <v>0</v>
      </c>
      <c r="G956" s="492">
        <v>12</v>
      </c>
      <c r="H956" s="492">
        <v>0</v>
      </c>
      <c r="I956" s="492">
        <v>24</v>
      </c>
      <c r="J956" s="492">
        <v>26</v>
      </c>
      <c r="K956" s="492">
        <v>50</v>
      </c>
      <c r="L956" s="492">
        <v>2</v>
      </c>
      <c r="M956" s="906">
        <v>2</v>
      </c>
      <c r="N956" s="854">
        <v>0.4</v>
      </c>
      <c r="O956" s="854">
        <v>0.6</v>
      </c>
      <c r="P956" s="910" t="s">
        <v>1430</v>
      </c>
    </row>
    <row r="957" spans="1:16" x14ac:dyDescent="0.25">
      <c r="A957" s="887"/>
      <c r="B957" s="888"/>
      <c r="C957" s="888"/>
      <c r="D957" s="888"/>
      <c r="E957" s="888"/>
      <c r="F957" s="888"/>
      <c r="G957" s="888"/>
      <c r="H957" s="888"/>
      <c r="I957" s="888"/>
      <c r="J957" s="888"/>
      <c r="K957" s="888"/>
      <c r="L957" s="888"/>
      <c r="M957" s="888"/>
      <c r="N957" s="888"/>
      <c r="O957" s="888"/>
      <c r="P957" s="889"/>
    </row>
    <row r="958" spans="1:16" x14ac:dyDescent="0.25">
      <c r="A958" s="909" t="s">
        <v>1392</v>
      </c>
      <c r="B958" s="906" t="s">
        <v>1393</v>
      </c>
      <c r="C958" s="906" t="s">
        <v>1392</v>
      </c>
      <c r="D958" s="906" t="s">
        <v>1395</v>
      </c>
      <c r="E958" s="492">
        <v>12</v>
      </c>
      <c r="F958" s="492">
        <v>0</v>
      </c>
      <c r="G958" s="492">
        <v>0</v>
      </c>
      <c r="H958" s="492">
        <v>12</v>
      </c>
      <c r="I958" s="492">
        <v>24</v>
      </c>
      <c r="J958" s="492">
        <v>26</v>
      </c>
      <c r="K958" s="492">
        <v>50</v>
      </c>
      <c r="L958" s="492">
        <v>2</v>
      </c>
      <c r="M958" s="906">
        <v>2</v>
      </c>
      <c r="N958" s="854">
        <v>0.4</v>
      </c>
      <c r="O958" s="854">
        <v>0.6</v>
      </c>
      <c r="P958" s="29" t="s">
        <v>1396</v>
      </c>
    </row>
    <row r="959" spans="1:16" ht="24" x14ac:dyDescent="0.25">
      <c r="A959" s="909" t="s">
        <v>1397</v>
      </c>
      <c r="B959" s="906" t="s">
        <v>1398</v>
      </c>
      <c r="C959" s="906" t="s">
        <v>1431</v>
      </c>
      <c r="D959" s="906" t="s">
        <v>1399</v>
      </c>
      <c r="E959" s="492">
        <v>12</v>
      </c>
      <c r="F959" s="492">
        <v>0</v>
      </c>
      <c r="G959" s="492">
        <v>12</v>
      </c>
      <c r="H959" s="492">
        <v>0</v>
      </c>
      <c r="I959" s="492">
        <v>24</v>
      </c>
      <c r="J959" s="492">
        <v>26</v>
      </c>
      <c r="K959" s="492">
        <v>50</v>
      </c>
      <c r="L959" s="492">
        <v>2</v>
      </c>
      <c r="M959" s="906">
        <v>2</v>
      </c>
      <c r="N959" s="854">
        <v>0.4</v>
      </c>
      <c r="O959" s="854">
        <v>0.6</v>
      </c>
      <c r="P959" s="29" t="s">
        <v>1396</v>
      </c>
    </row>
    <row r="960" spans="1:16" ht="15.75" thickBot="1" x14ac:dyDescent="0.3">
      <c r="A960" s="890" t="s">
        <v>1400</v>
      </c>
      <c r="B960" s="891"/>
      <c r="C960" s="891"/>
      <c r="D960" s="891"/>
      <c r="E960" s="911">
        <v>182</v>
      </c>
      <c r="F960" s="911">
        <v>25</v>
      </c>
      <c r="G960" s="911">
        <v>59</v>
      </c>
      <c r="H960" s="911">
        <v>94</v>
      </c>
      <c r="I960" s="911">
        <v>360</v>
      </c>
      <c r="J960" s="911">
        <v>390</v>
      </c>
      <c r="K960" s="911">
        <v>750</v>
      </c>
      <c r="L960" s="911">
        <v>30</v>
      </c>
      <c r="M960" s="911">
        <v>30</v>
      </c>
      <c r="N960" s="895"/>
      <c r="O960" s="895"/>
      <c r="P960" s="896"/>
    </row>
    <row r="961" spans="1:16" x14ac:dyDescent="0.25">
      <c r="A961" s="842"/>
      <c r="C961" s="842"/>
      <c r="P961" s="709"/>
    </row>
    <row r="962" spans="1:16" x14ac:dyDescent="0.25">
      <c r="A962" s="842"/>
      <c r="C962" s="842"/>
      <c r="P962" s="709"/>
    </row>
    <row r="963" spans="1:16" x14ac:dyDescent="0.25">
      <c r="A963" s="842"/>
      <c r="C963" s="842"/>
      <c r="P963" s="709"/>
    </row>
    <row r="964" spans="1:16" x14ac:dyDescent="0.25">
      <c r="A964" s="842"/>
      <c r="C964" s="842"/>
      <c r="D964" s="473" t="s">
        <v>915</v>
      </c>
      <c r="P964" s="709"/>
    </row>
    <row r="965" spans="1:16" ht="15.75" thickBot="1" x14ac:dyDescent="0.3">
      <c r="A965" s="842"/>
      <c r="C965" s="842"/>
      <c r="P965" s="709"/>
    </row>
    <row r="966" spans="1:16" x14ac:dyDescent="0.25">
      <c r="A966" s="829" t="s">
        <v>248</v>
      </c>
      <c r="B966" s="278"/>
      <c r="C966" s="278"/>
      <c r="D966" s="278"/>
      <c r="E966" s="912" t="s">
        <v>1296</v>
      </c>
      <c r="F966" s="912"/>
      <c r="G966" s="912"/>
      <c r="H966" s="912"/>
      <c r="I966" s="912"/>
      <c r="J966" s="912"/>
      <c r="K966" s="912"/>
      <c r="L966" s="912" t="s">
        <v>1297</v>
      </c>
      <c r="M966" s="912" t="s">
        <v>251</v>
      </c>
      <c r="N966" s="281" t="s">
        <v>11</v>
      </c>
      <c r="O966" s="281"/>
      <c r="P966" s="238" t="s">
        <v>12</v>
      </c>
    </row>
    <row r="967" spans="1:16" ht="24" x14ac:dyDescent="0.25">
      <c r="A967" s="913" t="s">
        <v>1402</v>
      </c>
      <c r="B967" s="914" t="s">
        <v>1298</v>
      </c>
      <c r="C967" s="914" t="s">
        <v>15</v>
      </c>
      <c r="D967" s="914" t="s">
        <v>16</v>
      </c>
      <c r="E967" s="914" t="s">
        <v>17</v>
      </c>
      <c r="F967" s="914" t="s">
        <v>18</v>
      </c>
      <c r="G967" s="914" t="s">
        <v>19</v>
      </c>
      <c r="H967" s="914" t="s">
        <v>1299</v>
      </c>
      <c r="I967" s="914" t="s">
        <v>1403</v>
      </c>
      <c r="J967" s="914" t="s">
        <v>22</v>
      </c>
      <c r="K967" s="914" t="s">
        <v>1301</v>
      </c>
      <c r="L967" s="861"/>
      <c r="M967" s="861"/>
      <c r="N967" s="817" t="s">
        <v>24</v>
      </c>
      <c r="O967" s="817" t="s">
        <v>25</v>
      </c>
      <c r="P967" s="246"/>
    </row>
    <row r="968" spans="1:16" ht="36.75" x14ac:dyDescent="0.25">
      <c r="A968" s="915" t="s">
        <v>775</v>
      </c>
      <c r="B968" s="916" t="s">
        <v>1432</v>
      </c>
      <c r="C968" s="916" t="s">
        <v>775</v>
      </c>
      <c r="D968" s="916" t="s">
        <v>777</v>
      </c>
      <c r="E968" s="917">
        <v>0</v>
      </c>
      <c r="F968" s="917">
        <v>0</v>
      </c>
      <c r="G968" s="917">
        <v>0</v>
      </c>
      <c r="H968" s="917">
        <v>360</v>
      </c>
      <c r="I968" s="917">
        <v>360</v>
      </c>
      <c r="J968" s="917">
        <v>390</v>
      </c>
      <c r="K968" s="917">
        <v>750</v>
      </c>
      <c r="L968" s="917">
        <v>30</v>
      </c>
      <c r="M968" s="917">
        <v>30</v>
      </c>
      <c r="N968" s="916"/>
      <c r="O968" s="916"/>
      <c r="P968" s="918" t="s">
        <v>1315</v>
      </c>
    </row>
    <row r="969" spans="1:16" ht="15.75" thickBot="1" x14ac:dyDescent="0.3">
      <c r="A969" s="863" t="s">
        <v>1433</v>
      </c>
      <c r="B969" s="864"/>
      <c r="C969" s="864"/>
      <c r="D969" s="864"/>
      <c r="E969" s="919">
        <v>0</v>
      </c>
      <c r="F969" s="919">
        <v>0</v>
      </c>
      <c r="G969" s="919">
        <v>0</v>
      </c>
      <c r="H969" s="919">
        <v>360</v>
      </c>
      <c r="I969" s="919">
        <v>360</v>
      </c>
      <c r="J969" s="919">
        <v>390</v>
      </c>
      <c r="K969" s="919">
        <v>750</v>
      </c>
      <c r="L969" s="920">
        <v>30</v>
      </c>
      <c r="M969" s="921"/>
      <c r="N969" s="922"/>
      <c r="O969" s="922"/>
      <c r="P969" s="923"/>
    </row>
    <row r="992" spans="1:16" ht="10.5" customHeight="1" x14ac:dyDescent="0.25">
      <c r="A992" s="709"/>
      <c r="B992" s="709"/>
      <c r="C992" s="709"/>
      <c r="D992" s="511" t="s">
        <v>0</v>
      </c>
      <c r="E992" s="709"/>
      <c r="F992" s="709"/>
      <c r="G992" s="709"/>
      <c r="H992" s="709"/>
      <c r="I992" s="709"/>
      <c r="J992" s="709"/>
      <c r="K992" s="709"/>
      <c r="L992" s="709"/>
      <c r="M992" s="709"/>
      <c r="N992" s="709"/>
      <c r="O992" s="709"/>
      <c r="P992" s="709"/>
    </row>
    <row r="993" spans="1:16" ht="10.5" customHeight="1" x14ac:dyDescent="0.25">
      <c r="A993" s="709"/>
      <c r="B993" s="709"/>
      <c r="C993" s="709"/>
      <c r="D993" s="511" t="s">
        <v>1</v>
      </c>
      <c r="E993" s="709"/>
      <c r="F993" s="709"/>
      <c r="G993" s="709"/>
      <c r="H993" s="709"/>
      <c r="I993" s="709"/>
      <c r="J993" s="709"/>
      <c r="K993" s="709"/>
      <c r="L993" s="709"/>
      <c r="M993" s="709"/>
      <c r="N993" s="709"/>
      <c r="O993" s="709"/>
      <c r="P993" s="709"/>
    </row>
    <row r="994" spans="1:16" ht="10.5" customHeight="1" x14ac:dyDescent="0.25">
      <c r="A994" s="709"/>
      <c r="B994" s="709"/>
      <c r="C994" s="709"/>
      <c r="D994" s="511" t="s">
        <v>1434</v>
      </c>
      <c r="E994" s="709"/>
      <c r="F994" s="709"/>
      <c r="G994" s="709"/>
      <c r="H994" s="709"/>
      <c r="I994" s="709"/>
      <c r="J994" s="709"/>
      <c r="K994" s="709"/>
      <c r="L994" s="709"/>
      <c r="M994" s="709"/>
      <c r="N994" s="709"/>
      <c r="O994" s="709"/>
      <c r="P994" s="709"/>
    </row>
    <row r="995" spans="1:16" ht="10.5" customHeight="1" x14ac:dyDescent="0.25">
      <c r="A995" s="633"/>
      <c r="B995" s="633"/>
      <c r="C995" s="709"/>
      <c r="D995" s="511" t="s">
        <v>514</v>
      </c>
      <c r="E995" s="709"/>
      <c r="F995" s="709"/>
      <c r="G995" s="709"/>
      <c r="H995" s="709"/>
      <c r="I995" s="709"/>
      <c r="J995" s="709"/>
      <c r="K995" s="709"/>
      <c r="L995" s="709"/>
      <c r="M995" s="709"/>
      <c r="N995" s="709"/>
      <c r="O995" s="709"/>
      <c r="P995" s="709"/>
    </row>
    <row r="996" spans="1:16" ht="10.5" customHeight="1" x14ac:dyDescent="0.25">
      <c r="A996" s="709"/>
      <c r="B996" s="709"/>
      <c r="C996" s="709"/>
      <c r="D996" s="553" t="s">
        <v>1435</v>
      </c>
      <c r="E996" s="709"/>
      <c r="F996" s="709"/>
      <c r="G996" s="709"/>
      <c r="H996" s="709"/>
      <c r="I996" s="709"/>
      <c r="J996" s="709"/>
      <c r="K996" s="709"/>
      <c r="L996" s="709"/>
      <c r="M996" s="709"/>
      <c r="N996" s="709"/>
      <c r="O996" s="709"/>
      <c r="P996" s="709"/>
    </row>
    <row r="997" spans="1:16" ht="10.5" customHeight="1" x14ac:dyDescent="0.25">
      <c r="A997" s="925"/>
      <c r="B997" s="709"/>
      <c r="C997" s="633"/>
      <c r="D997" s="511" t="s">
        <v>780</v>
      </c>
      <c r="E997" s="709"/>
      <c r="F997" s="709"/>
      <c r="G997" s="709"/>
      <c r="H997" s="709"/>
      <c r="I997" s="709"/>
      <c r="J997" s="709"/>
      <c r="K997" s="709"/>
      <c r="L997" s="709"/>
      <c r="M997" s="709"/>
      <c r="N997" s="709"/>
      <c r="O997" s="709"/>
      <c r="P997" s="709"/>
    </row>
    <row r="998" spans="1:16" ht="10.5" customHeight="1" thickBot="1" x14ac:dyDescent="0.3">
      <c r="A998" s="925"/>
      <c r="B998" s="709"/>
      <c r="C998" s="633"/>
      <c r="D998" s="511" t="s">
        <v>1436</v>
      </c>
      <c r="E998" s="709"/>
      <c r="F998" s="709"/>
      <c r="G998" s="709"/>
      <c r="H998" s="709"/>
      <c r="I998" s="709"/>
      <c r="J998" s="709"/>
      <c r="K998" s="709"/>
      <c r="L998" s="709"/>
      <c r="M998" s="709"/>
      <c r="N998" s="709"/>
      <c r="O998" s="709"/>
      <c r="P998" s="709"/>
    </row>
    <row r="999" spans="1:16" ht="31.5" customHeight="1" thickTop="1" thickBot="1" x14ac:dyDescent="0.3">
      <c r="A999" s="1056"/>
      <c r="B999" s="935" t="s">
        <v>248</v>
      </c>
      <c r="C999" s="1057"/>
      <c r="D999" s="936"/>
      <c r="E999" s="1058" t="s">
        <v>249</v>
      </c>
      <c r="F999" s="1059"/>
      <c r="G999" s="1059"/>
      <c r="H999" s="1059"/>
      <c r="I999" s="1059"/>
      <c r="J999" s="1059"/>
      <c r="K999" s="1060"/>
      <c r="L999" s="1061" t="s">
        <v>1297</v>
      </c>
      <c r="M999" s="1062" t="s">
        <v>251</v>
      </c>
      <c r="N999" s="935" t="s">
        <v>11</v>
      </c>
      <c r="O999" s="936"/>
      <c r="P999" s="1063" t="s">
        <v>12</v>
      </c>
    </row>
    <row r="1000" spans="1:16" ht="21.75" thickBot="1" x14ac:dyDescent="0.3">
      <c r="A1000" s="1064" t="s">
        <v>1437</v>
      </c>
      <c r="B1000" s="1065" t="s">
        <v>1438</v>
      </c>
      <c r="C1000" s="1066" t="s">
        <v>15</v>
      </c>
      <c r="D1000" s="1067" t="s">
        <v>16</v>
      </c>
      <c r="E1000" s="1067" t="s">
        <v>17</v>
      </c>
      <c r="F1000" s="1067" t="s">
        <v>18</v>
      </c>
      <c r="G1000" s="1067" t="s">
        <v>1439</v>
      </c>
      <c r="H1000" s="1067" t="s">
        <v>1299</v>
      </c>
      <c r="I1000" s="1067" t="s">
        <v>1300</v>
      </c>
      <c r="J1000" s="1067" t="s">
        <v>22</v>
      </c>
      <c r="K1000" s="1067" t="s">
        <v>1301</v>
      </c>
      <c r="L1000" s="1068"/>
      <c r="M1000" s="1069"/>
      <c r="N1000" s="1070" t="s">
        <v>24</v>
      </c>
      <c r="O1000" s="1070" t="s">
        <v>25</v>
      </c>
      <c r="P1000" s="1071"/>
    </row>
    <row r="1001" spans="1:16" ht="11.25" customHeight="1" thickBot="1" x14ac:dyDescent="0.3">
      <c r="A1001" s="1072" t="s">
        <v>1440</v>
      </c>
      <c r="B1001" s="1073"/>
      <c r="C1001" s="1073"/>
      <c r="D1001" s="1073"/>
      <c r="E1001" s="1073"/>
      <c r="F1001" s="1073"/>
      <c r="G1001" s="1073"/>
      <c r="H1001" s="1073"/>
      <c r="I1001" s="1073"/>
      <c r="J1001" s="1073"/>
      <c r="K1001" s="1073"/>
      <c r="L1001" s="1073"/>
      <c r="M1001" s="1073"/>
      <c r="N1001" s="1073"/>
      <c r="O1001" s="1073"/>
      <c r="P1001" s="1074"/>
    </row>
    <row r="1002" spans="1:16" ht="23.25" thickBot="1" x14ac:dyDescent="0.3">
      <c r="A1002" s="1075" t="s">
        <v>1441</v>
      </c>
      <c r="B1002" s="1076" t="s">
        <v>1442</v>
      </c>
      <c r="C1002" s="1077" t="s">
        <v>1443</v>
      </c>
      <c r="D1002" s="1078" t="s">
        <v>1444</v>
      </c>
      <c r="E1002" s="1078">
        <v>24</v>
      </c>
      <c r="F1002" s="1079">
        <v>12</v>
      </c>
      <c r="G1002" s="1079">
        <v>0</v>
      </c>
      <c r="H1002" s="1078">
        <v>0</v>
      </c>
      <c r="I1002" s="1078">
        <v>36</v>
      </c>
      <c r="J1002" s="1080">
        <v>39</v>
      </c>
      <c r="K1002" s="1067">
        <v>75</v>
      </c>
      <c r="L1002" s="1067">
        <v>3</v>
      </c>
      <c r="M1002" s="1081">
        <v>5</v>
      </c>
      <c r="N1002" s="569">
        <v>0.4</v>
      </c>
      <c r="O1002" s="569">
        <v>0.6</v>
      </c>
      <c r="P1002" s="1071" t="s">
        <v>1583</v>
      </c>
    </row>
    <row r="1003" spans="1:16" ht="23.25" thickBot="1" x14ac:dyDescent="0.3">
      <c r="A1003" s="1082"/>
      <c r="B1003" s="1083"/>
      <c r="C1003" s="1084" t="s">
        <v>1445</v>
      </c>
      <c r="D1003" s="1078" t="s">
        <v>1446</v>
      </c>
      <c r="E1003" s="1079">
        <v>20</v>
      </c>
      <c r="F1003" s="1079">
        <v>4</v>
      </c>
      <c r="G1003" s="1079">
        <v>0</v>
      </c>
      <c r="H1003" s="1078">
        <v>0</v>
      </c>
      <c r="I1003" s="1078">
        <v>24</v>
      </c>
      <c r="J1003" s="1078">
        <v>26</v>
      </c>
      <c r="K1003" s="1067">
        <v>50</v>
      </c>
      <c r="L1003" s="1067">
        <v>2</v>
      </c>
      <c r="M1003" s="1068"/>
      <c r="N1003" s="569">
        <v>0.4</v>
      </c>
      <c r="O1003" s="569">
        <v>0.6</v>
      </c>
      <c r="P1003" s="1071" t="s">
        <v>1097</v>
      </c>
    </row>
    <row r="1004" spans="1:16" ht="11.25" customHeight="1" thickBot="1" x14ac:dyDescent="0.3">
      <c r="A1004" s="1085" t="s">
        <v>1447</v>
      </c>
      <c r="B1004" s="1086"/>
      <c r="C1004" s="1086"/>
      <c r="D1004" s="1086"/>
      <c r="E1004" s="1086"/>
      <c r="F1004" s="1086"/>
      <c r="G1004" s="1086"/>
      <c r="H1004" s="1086"/>
      <c r="I1004" s="1086"/>
      <c r="J1004" s="1086"/>
      <c r="K1004" s="1086"/>
      <c r="L1004" s="1086"/>
      <c r="M1004" s="1086"/>
      <c r="N1004" s="1086"/>
      <c r="O1004" s="1086"/>
      <c r="P1004" s="1087"/>
    </row>
    <row r="1005" spans="1:16" ht="23.25" thickBot="1" x14ac:dyDescent="0.3">
      <c r="A1005" s="1075" t="s">
        <v>1448</v>
      </c>
      <c r="B1005" s="1076" t="s">
        <v>1449</v>
      </c>
      <c r="C1005" s="1084" t="s">
        <v>1450</v>
      </c>
      <c r="D1005" s="1078" t="s">
        <v>1451</v>
      </c>
      <c r="E1005" s="1078">
        <v>16</v>
      </c>
      <c r="F1005" s="1078">
        <v>0</v>
      </c>
      <c r="G1005" s="1078">
        <v>0</v>
      </c>
      <c r="H1005" s="1078">
        <v>8</v>
      </c>
      <c r="I1005" s="1078">
        <v>24</v>
      </c>
      <c r="J1005" s="1078">
        <v>26</v>
      </c>
      <c r="K1005" s="1067">
        <v>50</v>
      </c>
      <c r="L1005" s="1067">
        <v>2</v>
      </c>
      <c r="M1005" s="1081">
        <v>6</v>
      </c>
      <c r="N1005" s="569">
        <v>0.4</v>
      </c>
      <c r="O1005" s="569">
        <v>0.6</v>
      </c>
      <c r="P1005" s="1096" t="s">
        <v>1592</v>
      </c>
    </row>
    <row r="1006" spans="1:16" ht="23.25" thickBot="1" x14ac:dyDescent="0.3">
      <c r="A1006" s="1082"/>
      <c r="B1006" s="1083"/>
      <c r="C1006" s="1084" t="s">
        <v>1452</v>
      </c>
      <c r="D1006" s="1078" t="s">
        <v>1453</v>
      </c>
      <c r="E1006" s="1078">
        <v>22</v>
      </c>
      <c r="F1006" s="1078">
        <v>0</v>
      </c>
      <c r="G1006" s="1078">
        <v>16</v>
      </c>
      <c r="H1006" s="1078">
        <v>10</v>
      </c>
      <c r="I1006" s="1078">
        <v>48</v>
      </c>
      <c r="J1006" s="1078">
        <v>52</v>
      </c>
      <c r="K1006" s="1067">
        <v>100</v>
      </c>
      <c r="L1006" s="1067">
        <v>4</v>
      </c>
      <c r="M1006" s="1068"/>
      <c r="N1006" s="1097">
        <v>0.4</v>
      </c>
      <c r="O1006" s="1097">
        <v>0.6</v>
      </c>
      <c r="P1006" s="1096" t="s">
        <v>1592</v>
      </c>
    </row>
    <row r="1007" spans="1:16" ht="27" customHeight="1" thickBot="1" x14ac:dyDescent="0.3">
      <c r="A1007" s="1075" t="s">
        <v>1454</v>
      </c>
      <c r="B1007" s="1076" t="s">
        <v>1455</v>
      </c>
      <c r="C1007" s="1084" t="s">
        <v>1456</v>
      </c>
      <c r="D1007" s="1078" t="s">
        <v>1457</v>
      </c>
      <c r="E1007" s="1078">
        <v>14</v>
      </c>
      <c r="F1007" s="1078">
        <v>0</v>
      </c>
      <c r="G1007" s="1078">
        <v>10</v>
      </c>
      <c r="H1007" s="1078">
        <v>0</v>
      </c>
      <c r="I1007" s="1078">
        <v>24</v>
      </c>
      <c r="J1007" s="1078">
        <v>26</v>
      </c>
      <c r="K1007" s="1067">
        <v>50</v>
      </c>
      <c r="L1007" s="1067">
        <v>2</v>
      </c>
      <c r="M1007" s="1081">
        <v>4</v>
      </c>
      <c r="N1007" s="1088">
        <v>0.4</v>
      </c>
      <c r="O1007" s="1089">
        <v>0.6</v>
      </c>
      <c r="P1007" s="1096" t="s">
        <v>1462</v>
      </c>
    </row>
    <row r="1008" spans="1:16" ht="23.25" thickBot="1" x14ac:dyDescent="0.3">
      <c r="A1008" s="1090"/>
      <c r="B1008" s="1091"/>
      <c r="C1008" s="1084" t="s">
        <v>1458</v>
      </c>
      <c r="D1008" s="1078" t="s">
        <v>1459</v>
      </c>
      <c r="E1008" s="1078">
        <v>12</v>
      </c>
      <c r="F1008" s="1078">
        <v>0</v>
      </c>
      <c r="G1008" s="1078">
        <v>0</v>
      </c>
      <c r="H1008" s="1078">
        <v>0</v>
      </c>
      <c r="I1008" s="1078">
        <v>12</v>
      </c>
      <c r="J1008" s="1078">
        <v>13</v>
      </c>
      <c r="K1008" s="1067">
        <v>25</v>
      </c>
      <c r="L1008" s="1067">
        <v>1</v>
      </c>
      <c r="M1008" s="1098"/>
      <c r="N1008" s="1092">
        <v>0.4</v>
      </c>
      <c r="O1008" s="1093">
        <v>0.6</v>
      </c>
      <c r="P1008" s="1096" t="s">
        <v>1462</v>
      </c>
    </row>
    <row r="1009" spans="1:16" ht="23.25" thickBot="1" x14ac:dyDescent="0.3">
      <c r="A1009" s="1082"/>
      <c r="B1009" s="1083"/>
      <c r="C1009" s="1084" t="s">
        <v>1460</v>
      </c>
      <c r="D1009" s="1078" t="s">
        <v>1461</v>
      </c>
      <c r="E1009" s="1078">
        <v>12</v>
      </c>
      <c r="F1009" s="1078">
        <v>0</v>
      </c>
      <c r="G1009" s="1078">
        <v>0</v>
      </c>
      <c r="H1009" s="1078">
        <v>0</v>
      </c>
      <c r="I1009" s="1078">
        <v>12</v>
      </c>
      <c r="J1009" s="1078">
        <v>13</v>
      </c>
      <c r="K1009" s="1067">
        <v>25</v>
      </c>
      <c r="L1009" s="1067">
        <v>1</v>
      </c>
      <c r="M1009" s="1068"/>
      <c r="N1009" s="1094">
        <v>0.4</v>
      </c>
      <c r="O1009" s="1095">
        <v>0.6</v>
      </c>
      <c r="P1009" s="1096" t="s">
        <v>1462</v>
      </c>
    </row>
    <row r="1010" spans="1:16" ht="23.25" thickBot="1" x14ac:dyDescent="0.3">
      <c r="A1010" s="1075" t="s">
        <v>1463</v>
      </c>
      <c r="B1010" s="1076" t="s">
        <v>1591</v>
      </c>
      <c r="C1010" s="1084" t="s">
        <v>1464</v>
      </c>
      <c r="D1010" s="1078" t="s">
        <v>1465</v>
      </c>
      <c r="E1010" s="1078">
        <v>20</v>
      </c>
      <c r="F1010" s="1078">
        <v>4</v>
      </c>
      <c r="G1010" s="1078">
        <v>0</v>
      </c>
      <c r="H1010" s="1078">
        <v>0</v>
      </c>
      <c r="I1010" s="1078">
        <v>24</v>
      </c>
      <c r="J1010" s="1078">
        <v>26</v>
      </c>
      <c r="K1010" s="1067">
        <v>50</v>
      </c>
      <c r="L1010" s="1067">
        <v>2</v>
      </c>
      <c r="M1010" s="1081">
        <v>4</v>
      </c>
      <c r="N1010" s="1088">
        <v>0.4</v>
      </c>
      <c r="O1010" s="1089">
        <v>0.6</v>
      </c>
      <c r="P1010" s="1096" t="s">
        <v>1097</v>
      </c>
    </row>
    <row r="1011" spans="1:16" ht="21.75" customHeight="1" thickBot="1" x14ac:dyDescent="0.3">
      <c r="A1011" s="1082"/>
      <c r="B1011" s="1083"/>
      <c r="C1011" s="1084" t="s">
        <v>1466</v>
      </c>
      <c r="D1011" s="1078" t="s">
        <v>1467</v>
      </c>
      <c r="E1011" s="1078">
        <v>20</v>
      </c>
      <c r="F1011" s="1078">
        <v>4</v>
      </c>
      <c r="G1011" s="1078">
        <v>0</v>
      </c>
      <c r="H1011" s="1078">
        <v>0</v>
      </c>
      <c r="I1011" s="1078">
        <v>24</v>
      </c>
      <c r="J1011" s="1078">
        <v>26</v>
      </c>
      <c r="K1011" s="1067">
        <v>50</v>
      </c>
      <c r="L1011" s="1067">
        <v>2</v>
      </c>
      <c r="M1011" s="1068"/>
      <c r="N1011" s="1094">
        <v>0.4</v>
      </c>
      <c r="O1011" s="1095">
        <v>0.6</v>
      </c>
      <c r="P1011" s="1096" t="s">
        <v>1097</v>
      </c>
    </row>
    <row r="1012" spans="1:16" ht="23.25" thickBot="1" x14ac:dyDescent="0.3">
      <c r="A1012" s="1075" t="s">
        <v>1468</v>
      </c>
      <c r="B1012" s="1076" t="s">
        <v>1469</v>
      </c>
      <c r="C1012" s="1084" t="s">
        <v>1470</v>
      </c>
      <c r="D1012" s="1078" t="s">
        <v>1471</v>
      </c>
      <c r="E1012" s="1078">
        <v>24</v>
      </c>
      <c r="F1012" s="1078">
        <v>0</v>
      </c>
      <c r="G1012" s="1078">
        <v>0</v>
      </c>
      <c r="H1012" s="1078">
        <v>0</v>
      </c>
      <c r="I1012" s="1078">
        <v>24</v>
      </c>
      <c r="J1012" s="1078">
        <v>26</v>
      </c>
      <c r="K1012" s="1067">
        <v>50</v>
      </c>
      <c r="L1012" s="1067">
        <v>2</v>
      </c>
      <c r="M1012" s="1081">
        <v>3</v>
      </c>
      <c r="N1012" s="569">
        <v>0.4</v>
      </c>
      <c r="O1012" s="569">
        <v>0.6</v>
      </c>
      <c r="P1012" s="1071" t="s">
        <v>1472</v>
      </c>
    </row>
    <row r="1013" spans="1:16" ht="15.75" thickBot="1" x14ac:dyDescent="0.3">
      <c r="A1013" s="1082"/>
      <c r="B1013" s="1083"/>
      <c r="C1013" s="1084" t="s">
        <v>1473</v>
      </c>
      <c r="D1013" s="1078" t="s">
        <v>1474</v>
      </c>
      <c r="E1013" s="1078">
        <v>12</v>
      </c>
      <c r="F1013" s="1078">
        <v>0</v>
      </c>
      <c r="G1013" s="1078">
        <v>0</v>
      </c>
      <c r="H1013" s="1078">
        <v>0</v>
      </c>
      <c r="I1013" s="1078">
        <v>12</v>
      </c>
      <c r="J1013" s="1078">
        <v>13</v>
      </c>
      <c r="K1013" s="1067">
        <v>25</v>
      </c>
      <c r="L1013" s="1067">
        <v>1</v>
      </c>
      <c r="M1013" s="1068"/>
      <c r="N1013" s="569">
        <v>0.4</v>
      </c>
      <c r="O1013" s="569">
        <v>0.6</v>
      </c>
      <c r="P1013" s="1096" t="s">
        <v>1475</v>
      </c>
    </row>
    <row r="1014" spans="1:16" ht="15.75" thickBot="1" x14ac:dyDescent="0.3">
      <c r="A1014" s="1085" t="s">
        <v>1263</v>
      </c>
      <c r="B1014" s="1086"/>
      <c r="C1014" s="1086"/>
      <c r="D1014" s="1086"/>
      <c r="E1014" s="1086"/>
      <c r="F1014" s="1086"/>
      <c r="G1014" s="1086"/>
      <c r="H1014" s="1086"/>
      <c r="I1014" s="1086"/>
      <c r="J1014" s="1086"/>
      <c r="K1014" s="1086"/>
      <c r="L1014" s="1086"/>
      <c r="M1014" s="1086"/>
      <c r="N1014" s="1086"/>
      <c r="O1014" s="1086"/>
      <c r="P1014" s="1087"/>
    </row>
    <row r="1015" spans="1:16" ht="14.25" customHeight="1" thickBot="1" x14ac:dyDescent="0.3">
      <c r="A1015" s="1075" t="s">
        <v>667</v>
      </c>
      <c r="B1015" s="1076" t="s">
        <v>832</v>
      </c>
      <c r="C1015" s="1077" t="s">
        <v>1470</v>
      </c>
      <c r="D1015" s="1078" t="s">
        <v>670</v>
      </c>
      <c r="E1015" s="1078">
        <v>0</v>
      </c>
      <c r="F1015" s="1078">
        <v>12</v>
      </c>
      <c r="G1015" s="1078">
        <v>0</v>
      </c>
      <c r="H1015" s="1078">
        <v>0</v>
      </c>
      <c r="I1015" s="1078">
        <v>12</v>
      </c>
      <c r="J1015" s="1078">
        <v>13</v>
      </c>
      <c r="K1015" s="1067">
        <v>25</v>
      </c>
      <c r="L1015" s="1067">
        <v>1</v>
      </c>
      <c r="M1015" s="1081">
        <v>2</v>
      </c>
      <c r="N1015" s="569">
        <v>0.4</v>
      </c>
      <c r="O1015" s="569">
        <v>0.6</v>
      </c>
      <c r="P1015" s="1071" t="s">
        <v>1593</v>
      </c>
    </row>
    <row r="1016" spans="1:16" ht="23.25" thickBot="1" x14ac:dyDescent="0.3">
      <c r="A1016" s="1082"/>
      <c r="B1016" s="1083"/>
      <c r="C1016" s="1084" t="s">
        <v>1473</v>
      </c>
      <c r="D1016" s="1078" t="s">
        <v>672</v>
      </c>
      <c r="E1016" s="1078">
        <v>0</v>
      </c>
      <c r="F1016" s="1078">
        <v>12</v>
      </c>
      <c r="G1016" s="1078">
        <v>0</v>
      </c>
      <c r="H1016" s="1078">
        <v>0</v>
      </c>
      <c r="I1016" s="1078">
        <v>12</v>
      </c>
      <c r="J1016" s="1078">
        <v>13</v>
      </c>
      <c r="K1016" s="1067">
        <v>25</v>
      </c>
      <c r="L1016" s="1067">
        <v>1</v>
      </c>
      <c r="M1016" s="1068"/>
      <c r="N1016" s="569">
        <v>0.4</v>
      </c>
      <c r="O1016" s="569">
        <v>0.6</v>
      </c>
      <c r="P1016" s="1071" t="s">
        <v>1593</v>
      </c>
    </row>
    <row r="1017" spans="1:16" ht="15.75" thickBot="1" x14ac:dyDescent="0.3">
      <c r="A1017" s="1085" t="s">
        <v>1281</v>
      </c>
      <c r="B1017" s="1086"/>
      <c r="C1017" s="1086"/>
      <c r="D1017" s="1086"/>
      <c r="E1017" s="1086"/>
      <c r="F1017" s="1086"/>
      <c r="G1017" s="1086"/>
      <c r="H1017" s="1086"/>
      <c r="I1017" s="1086"/>
      <c r="J1017" s="1086"/>
      <c r="K1017" s="1086"/>
      <c r="L1017" s="1086"/>
      <c r="M1017" s="1086"/>
      <c r="N1017" s="1086"/>
      <c r="O1017" s="1086"/>
      <c r="P1017" s="1087"/>
    </row>
    <row r="1018" spans="1:16" ht="23.25" thickBot="1" x14ac:dyDescent="0.3">
      <c r="A1018" s="1099" t="s">
        <v>673</v>
      </c>
      <c r="B1018" s="1100" t="s">
        <v>674</v>
      </c>
      <c r="C1018" s="1101" t="s">
        <v>673</v>
      </c>
      <c r="D1018" s="1102" t="s">
        <v>674</v>
      </c>
      <c r="E1018" s="1078">
        <v>0</v>
      </c>
      <c r="F1018" s="1078">
        <v>24</v>
      </c>
      <c r="G1018" s="1078">
        <v>0</v>
      </c>
      <c r="H1018" s="1078">
        <v>0</v>
      </c>
      <c r="I1018" s="1078">
        <v>24</v>
      </c>
      <c r="J1018" s="1078">
        <v>26</v>
      </c>
      <c r="K1018" s="1067">
        <v>50</v>
      </c>
      <c r="L1018" s="1067">
        <v>2</v>
      </c>
      <c r="M1018" s="1067">
        <v>2</v>
      </c>
      <c r="N1018" s="1088">
        <v>0.4</v>
      </c>
      <c r="O1018" s="1089">
        <v>0.6</v>
      </c>
      <c r="P1018" s="1096" t="s">
        <v>1476</v>
      </c>
    </row>
    <row r="1019" spans="1:16" ht="12" customHeight="1" thickBot="1" x14ac:dyDescent="0.3">
      <c r="A1019" s="1103" t="s">
        <v>131</v>
      </c>
      <c r="B1019" s="1104"/>
      <c r="C1019" s="1104"/>
      <c r="D1019" s="1105"/>
      <c r="E1019" s="1106">
        <v>224</v>
      </c>
      <c r="F1019" s="1106">
        <v>92</v>
      </c>
      <c r="G1019" s="1106">
        <v>26</v>
      </c>
      <c r="H1019" s="1106">
        <v>18</v>
      </c>
      <c r="I1019" s="1106">
        <v>360</v>
      </c>
      <c r="J1019" s="1106">
        <v>390</v>
      </c>
      <c r="K1019" s="1106">
        <v>750</v>
      </c>
      <c r="L1019" s="1106">
        <v>30</v>
      </c>
      <c r="M1019" s="1106"/>
      <c r="N1019" s="1094">
        <v>0.4</v>
      </c>
      <c r="O1019" s="1095">
        <v>0.6</v>
      </c>
      <c r="P1019" s="1107"/>
    </row>
    <row r="1020" spans="1:16" ht="15.75" thickTop="1" x14ac:dyDescent="0.25">
      <c r="A1020" s="966"/>
      <c r="B1020" s="966"/>
      <c r="C1020" s="966"/>
      <c r="D1020" s="966"/>
      <c r="E1020" s="967"/>
      <c r="F1020" s="967"/>
      <c r="G1020" s="967"/>
      <c r="H1020" s="967"/>
      <c r="I1020" s="968"/>
      <c r="J1020" s="967"/>
      <c r="K1020" s="967"/>
      <c r="L1020" s="967"/>
      <c r="M1020" s="968"/>
      <c r="N1020" s="969"/>
      <c r="O1020" s="969"/>
      <c r="P1020" s="970"/>
    </row>
    <row r="1021" spans="1:16" x14ac:dyDescent="0.25">
      <c r="P1021" s="709"/>
    </row>
    <row r="1022" spans="1:16" x14ac:dyDescent="0.25">
      <c r="P1022" s="709"/>
    </row>
    <row r="1023" spans="1:16" ht="16.5" thickBot="1" x14ac:dyDescent="0.3">
      <c r="D1023" s="971" t="s">
        <v>75</v>
      </c>
      <c r="P1023" s="709"/>
    </row>
    <row r="1024" spans="1:16" ht="37.5" thickTop="1" thickBot="1" x14ac:dyDescent="0.3">
      <c r="A1024" s="926"/>
      <c r="B1024" s="927" t="s">
        <v>248</v>
      </c>
      <c r="C1024" s="928"/>
      <c r="D1024" s="929"/>
      <c r="E1024" s="930" t="s">
        <v>249</v>
      </c>
      <c r="F1024" s="931"/>
      <c r="G1024" s="931"/>
      <c r="H1024" s="931"/>
      <c r="I1024" s="931"/>
      <c r="J1024" s="931"/>
      <c r="K1024" s="932"/>
      <c r="L1024" s="933" t="s">
        <v>1297</v>
      </c>
      <c r="M1024" s="934" t="s">
        <v>251</v>
      </c>
      <c r="N1024" s="935" t="s">
        <v>11</v>
      </c>
      <c r="O1024" s="936"/>
      <c r="P1024" s="937" t="s">
        <v>12</v>
      </c>
    </row>
    <row r="1025" spans="1:16" ht="24.75" thickBot="1" x14ac:dyDescent="0.3">
      <c r="A1025" s="938" t="s">
        <v>1437</v>
      </c>
      <c r="B1025" s="939" t="s">
        <v>1438</v>
      </c>
      <c r="C1025" s="940" t="s">
        <v>15</v>
      </c>
      <c r="D1025" s="941" t="s">
        <v>16</v>
      </c>
      <c r="E1025" s="941" t="s">
        <v>17</v>
      </c>
      <c r="F1025" s="941" t="s">
        <v>18</v>
      </c>
      <c r="G1025" s="941" t="s">
        <v>1439</v>
      </c>
      <c r="H1025" s="941" t="s">
        <v>1299</v>
      </c>
      <c r="I1025" s="941" t="s">
        <v>1300</v>
      </c>
      <c r="J1025" s="941" t="s">
        <v>22</v>
      </c>
      <c r="K1025" s="941" t="s">
        <v>1301</v>
      </c>
      <c r="L1025" s="942"/>
      <c r="M1025" s="943"/>
      <c r="N1025" s="944" t="s">
        <v>24</v>
      </c>
      <c r="O1025" s="944" t="s">
        <v>25</v>
      </c>
      <c r="P1025" s="945"/>
    </row>
    <row r="1026" spans="1:16" ht="15.75" thickBot="1" x14ac:dyDescent="0.3">
      <c r="A1026" s="946" t="s">
        <v>1440</v>
      </c>
      <c r="B1026" s="947"/>
      <c r="C1026" s="947"/>
      <c r="D1026" s="947"/>
      <c r="E1026" s="947"/>
      <c r="F1026" s="947"/>
      <c r="G1026" s="947"/>
      <c r="H1026" s="947"/>
      <c r="I1026" s="947"/>
      <c r="J1026" s="947"/>
      <c r="K1026" s="947"/>
      <c r="L1026" s="947"/>
      <c r="M1026" s="947"/>
      <c r="N1026" s="947"/>
      <c r="O1026" s="947"/>
      <c r="P1026" s="948"/>
    </row>
    <row r="1027" spans="1:16" ht="15.75" thickBot="1" x14ac:dyDescent="0.3">
      <c r="A1027" s="972" t="s">
        <v>1477</v>
      </c>
      <c r="B1027" s="973" t="s">
        <v>1478</v>
      </c>
      <c r="C1027" s="974" t="s">
        <v>1479</v>
      </c>
      <c r="D1027" s="975" t="s">
        <v>1480</v>
      </c>
      <c r="E1027" s="975">
        <v>22</v>
      </c>
      <c r="F1027" s="975">
        <v>14</v>
      </c>
      <c r="G1027" s="950">
        <v>0</v>
      </c>
      <c r="H1027" s="949">
        <v>0</v>
      </c>
      <c r="I1027" s="975">
        <v>36</v>
      </c>
      <c r="J1027" s="975">
        <v>39</v>
      </c>
      <c r="K1027" s="975">
        <v>75</v>
      </c>
      <c r="L1027" s="941">
        <v>3</v>
      </c>
      <c r="M1027" s="951">
        <v>4</v>
      </c>
      <c r="N1027" s="976">
        <v>0.4</v>
      </c>
      <c r="O1027" s="976">
        <v>0.6</v>
      </c>
      <c r="P1027" s="958" t="s">
        <v>1475</v>
      </c>
    </row>
    <row r="1028" spans="1:16" ht="15.75" thickBot="1" x14ac:dyDescent="0.3">
      <c r="A1028" s="977"/>
      <c r="B1028" s="978"/>
      <c r="C1028" s="979" t="s">
        <v>1481</v>
      </c>
      <c r="D1028" s="975" t="s">
        <v>1482</v>
      </c>
      <c r="E1028" s="975">
        <v>12</v>
      </c>
      <c r="F1028" s="975">
        <v>0</v>
      </c>
      <c r="G1028" s="950">
        <v>0</v>
      </c>
      <c r="H1028" s="949">
        <v>0</v>
      </c>
      <c r="I1028" s="975">
        <v>12</v>
      </c>
      <c r="J1028" s="975">
        <v>13</v>
      </c>
      <c r="K1028" s="975">
        <v>25</v>
      </c>
      <c r="L1028" s="941">
        <v>1</v>
      </c>
      <c r="M1028" s="942"/>
      <c r="N1028" s="976">
        <v>0.4</v>
      </c>
      <c r="O1028" s="976">
        <v>0.6</v>
      </c>
      <c r="P1028" s="958" t="s">
        <v>1475</v>
      </c>
    </row>
    <row r="1029" spans="1:16" ht="15.75" thickBot="1" x14ac:dyDescent="0.3">
      <c r="A1029" s="952" t="s">
        <v>1447</v>
      </c>
      <c r="B1029" s="953"/>
      <c r="C1029" s="953"/>
      <c r="D1029" s="953"/>
      <c r="E1029" s="953"/>
      <c r="F1029" s="953"/>
      <c r="G1029" s="953"/>
      <c r="H1029" s="953"/>
      <c r="I1029" s="953"/>
      <c r="J1029" s="953"/>
      <c r="K1029" s="953"/>
      <c r="L1029" s="953"/>
      <c r="M1029" s="953"/>
      <c r="N1029" s="953"/>
      <c r="O1029" s="953"/>
      <c r="P1029" s="954"/>
    </row>
    <row r="1030" spans="1:16" ht="15.75" thickBot="1" x14ac:dyDescent="0.3">
      <c r="A1030" s="972" t="s">
        <v>1483</v>
      </c>
      <c r="B1030" s="973" t="s">
        <v>1484</v>
      </c>
      <c r="C1030" s="974" t="s">
        <v>1485</v>
      </c>
      <c r="D1030" s="975" t="s">
        <v>1486</v>
      </c>
      <c r="E1030" s="975">
        <v>20</v>
      </c>
      <c r="F1030" s="975">
        <v>0</v>
      </c>
      <c r="G1030" s="975">
        <v>12</v>
      </c>
      <c r="H1030" s="975">
        <v>4</v>
      </c>
      <c r="I1030" s="975">
        <v>36</v>
      </c>
      <c r="J1030" s="975">
        <v>39</v>
      </c>
      <c r="K1030" s="980">
        <v>75</v>
      </c>
      <c r="L1030" s="980">
        <v>3</v>
      </c>
      <c r="M1030" s="955">
        <v>6</v>
      </c>
      <c r="N1030" s="976">
        <v>0.4</v>
      </c>
      <c r="O1030" s="976">
        <v>0.6</v>
      </c>
      <c r="P1030" s="958" t="s">
        <v>1585</v>
      </c>
    </row>
    <row r="1031" spans="1:16" ht="24.75" thickBot="1" x14ac:dyDescent="0.3">
      <c r="A1031" s="977"/>
      <c r="B1031" s="978"/>
      <c r="C1031" s="979" t="s">
        <v>1487</v>
      </c>
      <c r="D1031" s="975" t="s">
        <v>1488</v>
      </c>
      <c r="E1031" s="975">
        <v>20</v>
      </c>
      <c r="F1031" s="975">
        <v>0</v>
      </c>
      <c r="G1031" s="975">
        <v>12</v>
      </c>
      <c r="H1031" s="975">
        <v>4</v>
      </c>
      <c r="I1031" s="975">
        <v>36</v>
      </c>
      <c r="J1031" s="975">
        <v>39</v>
      </c>
      <c r="K1031" s="980">
        <v>75</v>
      </c>
      <c r="L1031" s="980">
        <v>3</v>
      </c>
      <c r="M1031" s="956"/>
      <c r="N1031" s="976">
        <v>0.4</v>
      </c>
      <c r="O1031" s="976">
        <v>0.6</v>
      </c>
      <c r="P1031" s="957" t="s">
        <v>1586</v>
      </c>
    </row>
    <row r="1032" spans="1:16" x14ac:dyDescent="0.25">
      <c r="A1032" s="972" t="s">
        <v>1489</v>
      </c>
      <c r="B1032" s="973" t="s">
        <v>1490</v>
      </c>
      <c r="C1032" s="981" t="s">
        <v>1489</v>
      </c>
      <c r="D1032" s="981" t="s">
        <v>1491</v>
      </c>
      <c r="E1032" s="981">
        <v>30</v>
      </c>
      <c r="F1032" s="981">
        <v>0</v>
      </c>
      <c r="G1032" s="981">
        <v>18</v>
      </c>
      <c r="H1032" s="981">
        <v>0</v>
      </c>
      <c r="I1032" s="981">
        <v>48</v>
      </c>
      <c r="J1032" s="981">
        <v>52</v>
      </c>
      <c r="K1032" s="981">
        <v>100</v>
      </c>
      <c r="L1032" s="981">
        <v>4</v>
      </c>
      <c r="M1032" s="951">
        <v>4</v>
      </c>
      <c r="N1032" s="982">
        <v>0.4</v>
      </c>
      <c r="O1032" s="982">
        <v>0.6</v>
      </c>
      <c r="P1032" s="983" t="s">
        <v>1588</v>
      </c>
    </row>
    <row r="1033" spans="1:16" ht="15.75" thickBot="1" x14ac:dyDescent="0.3">
      <c r="A1033" s="977"/>
      <c r="B1033" s="978"/>
      <c r="C1033" s="984"/>
      <c r="D1033" s="984"/>
      <c r="E1033" s="984"/>
      <c r="F1033" s="984"/>
      <c r="G1033" s="984"/>
      <c r="H1033" s="984"/>
      <c r="I1033" s="984"/>
      <c r="J1033" s="984"/>
      <c r="K1033" s="984"/>
      <c r="L1033" s="984"/>
      <c r="M1033" s="942"/>
      <c r="N1033" s="985"/>
      <c r="O1033" s="985"/>
      <c r="P1033" s="986"/>
    </row>
    <row r="1034" spans="1:16" x14ac:dyDescent="0.25">
      <c r="A1034" s="972" t="s">
        <v>1492</v>
      </c>
      <c r="B1034" s="973" t="s">
        <v>777</v>
      </c>
      <c r="C1034" s="981" t="s">
        <v>1489</v>
      </c>
      <c r="D1034" s="981" t="s">
        <v>777</v>
      </c>
      <c r="E1034" s="981">
        <v>0</v>
      </c>
      <c r="F1034" s="981">
        <v>0</v>
      </c>
      <c r="G1034" s="981">
        <v>0</v>
      </c>
      <c r="H1034" s="981">
        <v>120</v>
      </c>
      <c r="I1034" s="981">
        <v>120</v>
      </c>
      <c r="J1034" s="981">
        <v>130</v>
      </c>
      <c r="K1034" s="981">
        <v>250</v>
      </c>
      <c r="L1034" s="981">
        <v>10</v>
      </c>
      <c r="M1034" s="951">
        <v>10</v>
      </c>
      <c r="N1034" s="982">
        <v>0.4</v>
      </c>
      <c r="O1034" s="982">
        <v>0.6</v>
      </c>
      <c r="P1034" s="983" t="s">
        <v>1587</v>
      </c>
    </row>
    <row r="1035" spans="1:16" ht="15.75" thickBot="1" x14ac:dyDescent="0.3">
      <c r="A1035" s="977"/>
      <c r="B1035" s="978"/>
      <c r="C1035" s="984"/>
      <c r="D1035" s="984"/>
      <c r="E1035" s="984"/>
      <c r="F1035" s="984"/>
      <c r="G1035" s="984"/>
      <c r="H1035" s="984"/>
      <c r="I1035" s="984"/>
      <c r="J1035" s="984"/>
      <c r="K1035" s="984"/>
      <c r="L1035" s="984"/>
      <c r="M1035" s="942"/>
      <c r="N1035" s="985"/>
      <c r="O1035" s="985"/>
      <c r="P1035" s="986"/>
    </row>
    <row r="1036" spans="1:16" ht="15.75" thickBot="1" x14ac:dyDescent="0.3">
      <c r="A1036" s="952" t="s">
        <v>1263</v>
      </c>
      <c r="B1036" s="953"/>
      <c r="C1036" s="953"/>
      <c r="D1036" s="953"/>
      <c r="E1036" s="953"/>
      <c r="F1036" s="953"/>
      <c r="G1036" s="953"/>
      <c r="H1036" s="953"/>
      <c r="I1036" s="953"/>
      <c r="J1036" s="953"/>
      <c r="K1036" s="953"/>
      <c r="L1036" s="953"/>
      <c r="M1036" s="953"/>
      <c r="N1036" s="953"/>
      <c r="O1036" s="953"/>
      <c r="P1036" s="954"/>
    </row>
    <row r="1037" spans="1:16" ht="15.75" thickBot="1" x14ac:dyDescent="0.3">
      <c r="A1037" s="972" t="s">
        <v>1494</v>
      </c>
      <c r="B1037" s="973" t="s">
        <v>655</v>
      </c>
      <c r="C1037" s="974" t="s">
        <v>1495</v>
      </c>
      <c r="D1037" s="975" t="s">
        <v>657</v>
      </c>
      <c r="E1037" s="975">
        <v>10</v>
      </c>
      <c r="F1037" s="975">
        <v>14</v>
      </c>
      <c r="G1037" s="949">
        <v>0</v>
      </c>
      <c r="H1037" s="949">
        <v>0</v>
      </c>
      <c r="I1037" s="975">
        <v>24</v>
      </c>
      <c r="J1037" s="975">
        <v>26</v>
      </c>
      <c r="K1037" s="975">
        <v>50</v>
      </c>
      <c r="L1037" s="941">
        <v>2</v>
      </c>
      <c r="M1037" s="951">
        <v>4</v>
      </c>
      <c r="N1037" s="976">
        <v>0.4</v>
      </c>
      <c r="O1037" s="976">
        <v>0.6</v>
      </c>
      <c r="P1037" s="958" t="s">
        <v>1584</v>
      </c>
    </row>
    <row r="1038" spans="1:16" ht="25.5" customHeight="1" thickBot="1" x14ac:dyDescent="0.3">
      <c r="A1038" s="977"/>
      <c r="B1038" s="978"/>
      <c r="C1038" s="979" t="s">
        <v>1496</v>
      </c>
      <c r="D1038" s="975" t="s">
        <v>659</v>
      </c>
      <c r="E1038" s="975">
        <v>10</v>
      </c>
      <c r="F1038" s="975">
        <v>14</v>
      </c>
      <c r="G1038" s="949">
        <v>0</v>
      </c>
      <c r="H1038" s="949">
        <v>0</v>
      </c>
      <c r="I1038" s="975">
        <v>24</v>
      </c>
      <c r="J1038" s="975">
        <v>26</v>
      </c>
      <c r="K1038" s="975">
        <v>50</v>
      </c>
      <c r="L1038" s="941">
        <v>2</v>
      </c>
      <c r="M1038" s="942"/>
      <c r="N1038" s="976">
        <v>0.4</v>
      </c>
      <c r="O1038" s="976">
        <v>0.6</v>
      </c>
      <c r="P1038" s="958" t="s">
        <v>1584</v>
      </c>
    </row>
    <row r="1039" spans="1:16" ht="15.75" thickBot="1" x14ac:dyDescent="0.3">
      <c r="A1039" s="987" t="s">
        <v>864</v>
      </c>
      <c r="B1039" s="988" t="s">
        <v>1497</v>
      </c>
      <c r="C1039" s="974" t="s">
        <v>864</v>
      </c>
      <c r="D1039" s="975" t="s">
        <v>1497</v>
      </c>
      <c r="E1039" s="949">
        <v>0</v>
      </c>
      <c r="F1039" s="949">
        <v>0</v>
      </c>
      <c r="G1039" s="949">
        <v>0</v>
      </c>
      <c r="H1039" s="949">
        <v>24</v>
      </c>
      <c r="I1039" s="949">
        <v>24</v>
      </c>
      <c r="J1039" s="975">
        <v>26</v>
      </c>
      <c r="K1039" s="975">
        <v>50</v>
      </c>
      <c r="L1039" s="975">
        <v>2</v>
      </c>
      <c r="M1039" s="975">
        <v>2</v>
      </c>
      <c r="N1039" s="976">
        <v>0.4</v>
      </c>
      <c r="O1039" s="976">
        <v>0.6</v>
      </c>
      <c r="P1039" s="945" t="s">
        <v>1587</v>
      </c>
    </row>
    <row r="1040" spans="1:16" ht="15.75" thickBot="1" x14ac:dyDescent="0.3">
      <c r="A1040" s="960" t="s">
        <v>1356</v>
      </c>
      <c r="B1040" s="961"/>
      <c r="C1040" s="961"/>
      <c r="D1040" s="962"/>
      <c r="E1040" s="963">
        <v>124</v>
      </c>
      <c r="F1040" s="963">
        <v>42</v>
      </c>
      <c r="G1040" s="963">
        <v>42</v>
      </c>
      <c r="H1040" s="963">
        <v>152</v>
      </c>
      <c r="I1040" s="964">
        <v>360</v>
      </c>
      <c r="J1040" s="963">
        <v>390</v>
      </c>
      <c r="K1040" s="963">
        <v>750</v>
      </c>
      <c r="L1040" s="963">
        <v>30</v>
      </c>
      <c r="M1040" s="964">
        <v>30</v>
      </c>
      <c r="N1040" s="964"/>
      <c r="O1040" s="964"/>
      <c r="P1040" s="965"/>
    </row>
    <row r="1041" spans="1:16" ht="15.75" thickTop="1" x14ac:dyDescent="0.25">
      <c r="A1041" s="966"/>
      <c r="B1041" s="966"/>
      <c r="C1041" s="966"/>
      <c r="D1041" s="966"/>
      <c r="E1041" s="967"/>
      <c r="F1041" s="967"/>
      <c r="G1041" s="967"/>
      <c r="H1041" s="967"/>
      <c r="I1041" s="968"/>
      <c r="J1041" s="967"/>
      <c r="K1041" s="967"/>
      <c r="L1041" s="967"/>
      <c r="M1041" s="968"/>
      <c r="N1041" s="968"/>
      <c r="O1041" s="968"/>
      <c r="P1041" s="970"/>
    </row>
    <row r="1042" spans="1:16" x14ac:dyDescent="0.25">
      <c r="A1042" s="966"/>
      <c r="B1042" s="966"/>
      <c r="C1042" s="966"/>
      <c r="D1042" s="966"/>
      <c r="E1042" s="967"/>
      <c r="F1042" s="967"/>
      <c r="G1042" s="967"/>
      <c r="H1042" s="967"/>
      <c r="I1042" s="968"/>
      <c r="J1042" s="967"/>
      <c r="K1042" s="967"/>
      <c r="L1042" s="967"/>
      <c r="M1042" s="968"/>
      <c r="N1042" s="968"/>
      <c r="O1042" s="968"/>
      <c r="P1042" s="970"/>
    </row>
    <row r="1043" spans="1:16" x14ac:dyDescent="0.25">
      <c r="A1043" s="966"/>
      <c r="B1043" s="966"/>
      <c r="C1043" s="966"/>
      <c r="D1043" s="966"/>
      <c r="E1043" s="967"/>
      <c r="F1043" s="967"/>
      <c r="G1043" s="967"/>
      <c r="H1043" s="967"/>
      <c r="I1043" s="968"/>
      <c r="J1043" s="967"/>
      <c r="K1043" s="967"/>
      <c r="L1043" s="967"/>
      <c r="M1043" s="968"/>
      <c r="N1043" s="968"/>
      <c r="O1043" s="968"/>
      <c r="P1043" s="970"/>
    </row>
    <row r="1044" spans="1:16" x14ac:dyDescent="0.25">
      <c r="A1044" s="966"/>
      <c r="B1044" s="966"/>
      <c r="C1044" s="966"/>
      <c r="D1044" s="966"/>
      <c r="E1044" s="967"/>
      <c r="F1044" s="967"/>
      <c r="G1044" s="967"/>
      <c r="H1044" s="967"/>
      <c r="I1044" s="968"/>
      <c r="J1044" s="967"/>
      <c r="K1044" s="967"/>
      <c r="L1044" s="967"/>
      <c r="M1044" s="968"/>
      <c r="N1044" s="968"/>
      <c r="O1044" s="968"/>
      <c r="P1044" s="970"/>
    </row>
    <row r="1045" spans="1:16" x14ac:dyDescent="0.25">
      <c r="A1045" s="966"/>
      <c r="B1045" s="966"/>
      <c r="C1045" s="966"/>
      <c r="D1045" s="966"/>
      <c r="E1045" s="967"/>
      <c r="F1045" s="967"/>
      <c r="G1045" s="967"/>
      <c r="H1045" s="967"/>
      <c r="I1045" s="968"/>
      <c r="J1045" s="967"/>
      <c r="K1045" s="967"/>
      <c r="L1045" s="967"/>
      <c r="M1045" s="968"/>
      <c r="N1045" s="968"/>
      <c r="O1045" s="968"/>
      <c r="P1045" s="970"/>
    </row>
    <row r="1046" spans="1:16" x14ac:dyDescent="0.25">
      <c r="A1046" s="966"/>
      <c r="B1046" s="966"/>
      <c r="C1046" s="966"/>
      <c r="D1046" s="966"/>
      <c r="E1046" s="967"/>
      <c r="F1046" s="967"/>
      <c r="G1046" s="967"/>
      <c r="H1046" s="967"/>
      <c r="I1046" s="968"/>
      <c r="J1046" s="967"/>
      <c r="K1046" s="967"/>
      <c r="L1046" s="967"/>
      <c r="M1046" s="968"/>
      <c r="N1046" s="968"/>
      <c r="O1046" s="968"/>
      <c r="P1046" s="970"/>
    </row>
    <row r="1047" spans="1:16" x14ac:dyDescent="0.25">
      <c r="A1047" s="966"/>
      <c r="B1047" s="966"/>
      <c r="C1047" s="966"/>
      <c r="D1047" s="966"/>
      <c r="E1047" s="967"/>
      <c r="F1047" s="967"/>
      <c r="G1047" s="967"/>
      <c r="H1047" s="967"/>
      <c r="I1047" s="968"/>
      <c r="J1047" s="967"/>
      <c r="K1047" s="967"/>
      <c r="L1047" s="967"/>
      <c r="M1047" s="968"/>
      <c r="N1047" s="968"/>
      <c r="O1047" s="968"/>
      <c r="P1047" s="970"/>
    </row>
    <row r="1048" spans="1:16" x14ac:dyDescent="0.25">
      <c r="C1048" s="989"/>
      <c r="D1048" s="989"/>
      <c r="P1048" s="709"/>
    </row>
    <row r="1049" spans="1:16" ht="15.75" x14ac:dyDescent="0.25">
      <c r="C1049" s="989"/>
      <c r="D1049" s="971" t="s">
        <v>1498</v>
      </c>
      <c r="P1049" s="709"/>
    </row>
    <row r="1050" spans="1:16" ht="18" thickBot="1" x14ac:dyDescent="0.35">
      <c r="D1050" s="897" t="s">
        <v>1499</v>
      </c>
      <c r="E1050" s="897"/>
      <c r="F1050" s="897"/>
      <c r="G1050" s="897"/>
      <c r="P1050" s="709"/>
    </row>
    <row r="1051" spans="1:16" ht="18.75" customHeight="1" x14ac:dyDescent="0.25">
      <c r="A1051" s="990" t="s">
        <v>1500</v>
      </c>
      <c r="B1051" s="991"/>
      <c r="C1051" s="991"/>
      <c r="D1051" s="991"/>
      <c r="E1051" s="870" t="s">
        <v>249</v>
      </c>
      <c r="F1051" s="870"/>
      <c r="G1051" s="870"/>
      <c r="H1051" s="870"/>
      <c r="I1051" s="870"/>
      <c r="J1051" s="870"/>
      <c r="K1051" s="870"/>
      <c r="L1051" s="991" t="s">
        <v>1297</v>
      </c>
      <c r="M1051" s="992" t="s">
        <v>251</v>
      </c>
      <c r="N1051" s="993" t="s">
        <v>11</v>
      </c>
      <c r="O1051" s="993"/>
      <c r="P1051" s="994" t="s">
        <v>12</v>
      </c>
    </row>
    <row r="1052" spans="1:16" ht="25.5" x14ac:dyDescent="0.25">
      <c r="A1052" s="995" t="s">
        <v>13</v>
      </c>
      <c r="B1052" s="996" t="s">
        <v>1298</v>
      </c>
      <c r="C1052" s="996" t="s">
        <v>15</v>
      </c>
      <c r="D1052" s="996" t="s">
        <v>16</v>
      </c>
      <c r="E1052" s="996" t="s">
        <v>17</v>
      </c>
      <c r="F1052" s="997" t="s">
        <v>18</v>
      </c>
      <c r="G1052" s="997" t="s">
        <v>19</v>
      </c>
      <c r="H1052" s="996" t="s">
        <v>1299</v>
      </c>
      <c r="I1052" s="996" t="s">
        <v>1300</v>
      </c>
      <c r="J1052" s="996" t="s">
        <v>22</v>
      </c>
      <c r="K1052" s="996" t="s">
        <v>1301</v>
      </c>
      <c r="L1052" s="998"/>
      <c r="M1052" s="999"/>
      <c r="N1052" s="997" t="s">
        <v>24</v>
      </c>
      <c r="O1052" s="997" t="s">
        <v>25</v>
      </c>
      <c r="P1052" s="1000"/>
    </row>
    <row r="1053" spans="1:16" x14ac:dyDescent="0.25">
      <c r="A1053" s="1001" t="s">
        <v>1440</v>
      </c>
      <c r="B1053" s="999"/>
      <c r="C1053" s="999"/>
      <c r="D1053" s="999"/>
      <c r="E1053" s="999"/>
      <c r="F1053" s="999"/>
      <c r="G1053" s="999"/>
      <c r="H1053" s="999"/>
      <c r="I1053" s="999"/>
      <c r="J1053" s="999"/>
      <c r="K1053" s="999"/>
      <c r="L1053" s="999"/>
      <c r="M1053" s="999"/>
      <c r="N1053" s="999"/>
      <c r="O1053" s="999"/>
      <c r="P1053" s="1002"/>
    </row>
    <row r="1054" spans="1:16" x14ac:dyDescent="0.25">
      <c r="A1054" s="1003" t="s">
        <v>1501</v>
      </c>
      <c r="B1054" s="1004" t="s">
        <v>1502</v>
      </c>
      <c r="C1054" s="1005" t="s">
        <v>1503</v>
      </c>
      <c r="D1054" s="1005" t="s">
        <v>1504</v>
      </c>
      <c r="E1054" s="1005">
        <v>24</v>
      </c>
      <c r="F1054" s="1005">
        <v>12</v>
      </c>
      <c r="G1054" s="1005">
        <v>0</v>
      </c>
      <c r="H1054" s="1005">
        <v>0</v>
      </c>
      <c r="I1054" s="1005">
        <v>36</v>
      </c>
      <c r="J1054" s="1005">
        <v>39</v>
      </c>
      <c r="K1054" s="1005">
        <v>75</v>
      </c>
      <c r="L1054" s="1005">
        <v>3</v>
      </c>
      <c r="M1054" s="1004">
        <v>5</v>
      </c>
      <c r="N1054" s="1006">
        <v>0.4</v>
      </c>
      <c r="O1054" s="1006">
        <v>0.6</v>
      </c>
      <c r="P1054" s="1007" t="s">
        <v>1589</v>
      </c>
    </row>
    <row r="1055" spans="1:16" ht="24" x14ac:dyDescent="0.25">
      <c r="A1055" s="1003"/>
      <c r="B1055" s="1004"/>
      <c r="C1055" s="1005" t="s">
        <v>1505</v>
      </c>
      <c r="D1055" s="1005" t="s">
        <v>1506</v>
      </c>
      <c r="E1055" s="1005">
        <v>20</v>
      </c>
      <c r="F1055" s="1005">
        <v>4</v>
      </c>
      <c r="G1055" s="1005">
        <v>0</v>
      </c>
      <c r="H1055" s="1005">
        <v>0</v>
      </c>
      <c r="I1055" s="1005">
        <v>24</v>
      </c>
      <c r="J1055" s="1005">
        <v>26</v>
      </c>
      <c r="K1055" s="1005">
        <v>50</v>
      </c>
      <c r="L1055" s="1005">
        <v>2</v>
      </c>
      <c r="M1055" s="1004"/>
      <c r="N1055" s="1006">
        <v>0.4</v>
      </c>
      <c r="O1055" s="1006">
        <v>0.6</v>
      </c>
      <c r="P1055" s="1007" t="s">
        <v>1595</v>
      </c>
    </row>
    <row r="1056" spans="1:16" ht="24" x14ac:dyDescent="0.25">
      <c r="A1056" s="1003" t="s">
        <v>1507</v>
      </c>
      <c r="B1056" s="1004" t="s">
        <v>1508</v>
      </c>
      <c r="C1056" s="1005" t="s">
        <v>1509</v>
      </c>
      <c r="D1056" s="1005" t="s">
        <v>1510</v>
      </c>
      <c r="E1056" s="1005">
        <v>30</v>
      </c>
      <c r="F1056" s="1005">
        <v>6</v>
      </c>
      <c r="G1056" s="1005">
        <v>0</v>
      </c>
      <c r="H1056" s="1005">
        <v>0</v>
      </c>
      <c r="I1056" s="1005">
        <v>36</v>
      </c>
      <c r="J1056" s="1005">
        <v>39</v>
      </c>
      <c r="K1056" s="1005">
        <v>75</v>
      </c>
      <c r="L1056" s="1005">
        <v>3</v>
      </c>
      <c r="M1056" s="1004">
        <v>6</v>
      </c>
      <c r="N1056" s="1006">
        <v>0.4</v>
      </c>
      <c r="O1056" s="1006">
        <v>0.6</v>
      </c>
      <c r="P1056" s="1007" t="s">
        <v>1590</v>
      </c>
    </row>
    <row r="1057" spans="1:16" ht="24" x14ac:dyDescent="0.25">
      <c r="A1057" s="1003"/>
      <c r="B1057" s="1004"/>
      <c r="C1057" s="1005" t="s">
        <v>1511</v>
      </c>
      <c r="D1057" s="1005" t="s">
        <v>1512</v>
      </c>
      <c r="E1057" s="1005">
        <v>20</v>
      </c>
      <c r="F1057" s="1005">
        <v>4</v>
      </c>
      <c r="G1057" s="1005">
        <v>0</v>
      </c>
      <c r="H1057" s="1005">
        <v>0</v>
      </c>
      <c r="I1057" s="1005">
        <v>24</v>
      </c>
      <c r="J1057" s="1005">
        <v>26</v>
      </c>
      <c r="K1057" s="1005">
        <v>50</v>
      </c>
      <c r="L1057" s="1005">
        <v>2</v>
      </c>
      <c r="M1057" s="1004"/>
      <c r="N1057" s="1006">
        <v>0.4</v>
      </c>
      <c r="O1057" s="1006">
        <v>0.6</v>
      </c>
      <c r="P1057" s="1007" t="s">
        <v>1590</v>
      </c>
    </row>
    <row r="1058" spans="1:16" ht="24" x14ac:dyDescent="0.25">
      <c r="A1058" s="1003"/>
      <c r="B1058" s="1004"/>
      <c r="C1058" s="1005" t="s">
        <v>1513</v>
      </c>
      <c r="D1058" s="1005" t="s">
        <v>1514</v>
      </c>
      <c r="E1058" s="1005">
        <v>12</v>
      </c>
      <c r="F1058" s="1005">
        <v>0</v>
      </c>
      <c r="G1058" s="1005">
        <v>0</v>
      </c>
      <c r="H1058" s="1005">
        <v>0</v>
      </c>
      <c r="I1058" s="1005">
        <v>12</v>
      </c>
      <c r="J1058" s="1005">
        <v>13</v>
      </c>
      <c r="K1058" s="1005">
        <v>25</v>
      </c>
      <c r="L1058" s="1005">
        <v>1</v>
      </c>
      <c r="M1058" s="1004"/>
      <c r="N1058" s="1006">
        <v>0.4</v>
      </c>
      <c r="O1058" s="1006">
        <v>0.6</v>
      </c>
      <c r="P1058" s="1007" t="s">
        <v>1594</v>
      </c>
    </row>
    <row r="1059" spans="1:16" x14ac:dyDescent="0.25">
      <c r="A1059" s="887" t="s">
        <v>1447</v>
      </c>
      <c r="B1059" s="888"/>
      <c r="C1059" s="888"/>
      <c r="D1059" s="888"/>
      <c r="E1059" s="888"/>
      <c r="F1059" s="888"/>
      <c r="G1059" s="888"/>
      <c r="H1059" s="888"/>
      <c r="I1059" s="888"/>
      <c r="J1059" s="888"/>
      <c r="K1059" s="888"/>
      <c r="L1059" s="888"/>
      <c r="M1059" s="888"/>
      <c r="N1059" s="888"/>
      <c r="O1059" s="888"/>
      <c r="P1059" s="889"/>
    </row>
    <row r="1060" spans="1:16" x14ac:dyDescent="0.25">
      <c r="A1060" s="1003" t="s">
        <v>1515</v>
      </c>
      <c r="B1060" s="1004" t="s">
        <v>1516</v>
      </c>
      <c r="C1060" s="1005" t="s">
        <v>1517</v>
      </c>
      <c r="D1060" s="1005" t="s">
        <v>1518</v>
      </c>
      <c r="E1060" s="1005">
        <v>14</v>
      </c>
      <c r="F1060" s="1005">
        <v>10</v>
      </c>
      <c r="G1060" s="1005">
        <v>0</v>
      </c>
      <c r="H1060" s="1005">
        <v>0</v>
      </c>
      <c r="I1060" s="1005">
        <v>24</v>
      </c>
      <c r="J1060" s="1005">
        <v>26</v>
      </c>
      <c r="K1060" s="1005">
        <v>50</v>
      </c>
      <c r="L1060" s="1005">
        <v>2</v>
      </c>
      <c r="M1060" s="1004">
        <v>5</v>
      </c>
      <c r="N1060" s="1006">
        <v>0.4</v>
      </c>
      <c r="O1060" s="1006">
        <v>0.6</v>
      </c>
      <c r="P1060" s="1008" t="s">
        <v>1587</v>
      </c>
    </row>
    <row r="1061" spans="1:16" x14ac:dyDescent="0.25">
      <c r="A1061" s="1003"/>
      <c r="B1061" s="1004"/>
      <c r="C1061" s="1005" t="s">
        <v>1519</v>
      </c>
      <c r="D1061" s="1005" t="s">
        <v>1520</v>
      </c>
      <c r="E1061" s="1005">
        <v>14</v>
      </c>
      <c r="F1061" s="1005">
        <v>10</v>
      </c>
      <c r="G1061" s="1005">
        <v>0</v>
      </c>
      <c r="H1061" s="1005">
        <v>0</v>
      </c>
      <c r="I1061" s="1005">
        <v>24</v>
      </c>
      <c r="J1061" s="1005">
        <v>26</v>
      </c>
      <c r="K1061" s="1005">
        <v>50</v>
      </c>
      <c r="L1061" s="1005">
        <v>2</v>
      </c>
      <c r="M1061" s="1004"/>
      <c r="N1061" s="1006">
        <v>0.4</v>
      </c>
      <c r="O1061" s="1006">
        <v>0.6</v>
      </c>
      <c r="P1061" s="1008" t="s">
        <v>1587</v>
      </c>
    </row>
    <row r="1062" spans="1:16" x14ac:dyDescent="0.25">
      <c r="A1062" s="1003"/>
      <c r="B1062" s="1004"/>
      <c r="C1062" s="1005" t="s">
        <v>1521</v>
      </c>
      <c r="D1062" s="1005" t="s">
        <v>1522</v>
      </c>
      <c r="E1062" s="1005">
        <v>8</v>
      </c>
      <c r="F1062" s="1005">
        <v>4</v>
      </c>
      <c r="G1062" s="1005">
        <v>0</v>
      </c>
      <c r="H1062" s="1005">
        <v>0</v>
      </c>
      <c r="I1062" s="1005">
        <v>12</v>
      </c>
      <c r="J1062" s="1005">
        <v>13</v>
      </c>
      <c r="K1062" s="1005">
        <v>25</v>
      </c>
      <c r="L1062" s="1005">
        <v>1</v>
      </c>
      <c r="M1062" s="1004"/>
      <c r="N1062" s="1006">
        <v>0.4</v>
      </c>
      <c r="O1062" s="1006">
        <v>0.6</v>
      </c>
      <c r="P1062" s="1008" t="s">
        <v>1587</v>
      </c>
    </row>
    <row r="1063" spans="1:16" ht="24" x14ac:dyDescent="0.25">
      <c r="A1063" s="1003" t="s">
        <v>1523</v>
      </c>
      <c r="B1063" s="1004" t="s">
        <v>1524</v>
      </c>
      <c r="C1063" s="1005" t="s">
        <v>1525</v>
      </c>
      <c r="D1063" s="1005" t="s">
        <v>1526</v>
      </c>
      <c r="E1063" s="1005">
        <v>20</v>
      </c>
      <c r="F1063" s="1005">
        <v>4</v>
      </c>
      <c r="G1063" s="1005">
        <v>0</v>
      </c>
      <c r="H1063" s="1005">
        <v>0</v>
      </c>
      <c r="I1063" s="1005">
        <v>24</v>
      </c>
      <c r="J1063" s="1005">
        <v>26</v>
      </c>
      <c r="K1063" s="1005">
        <v>50</v>
      </c>
      <c r="L1063" s="1005">
        <v>2</v>
      </c>
      <c r="M1063" s="1004">
        <v>3</v>
      </c>
      <c r="N1063" s="1006">
        <v>0.4</v>
      </c>
      <c r="O1063" s="1006">
        <v>0.6</v>
      </c>
      <c r="P1063" s="1008" t="s">
        <v>1592</v>
      </c>
    </row>
    <row r="1064" spans="1:16" ht="24" x14ac:dyDescent="0.25">
      <c r="A1064" s="1003"/>
      <c r="B1064" s="1004"/>
      <c r="C1064" s="1005" t="s">
        <v>1527</v>
      </c>
      <c r="D1064" s="1005" t="s">
        <v>1528</v>
      </c>
      <c r="E1064" s="1005">
        <v>12</v>
      </c>
      <c r="F1064" s="1005"/>
      <c r="G1064" s="1005">
        <v>0</v>
      </c>
      <c r="H1064" s="1005">
        <v>0</v>
      </c>
      <c r="I1064" s="1005">
        <v>12</v>
      </c>
      <c r="J1064" s="1005">
        <v>13</v>
      </c>
      <c r="K1064" s="1005">
        <v>25</v>
      </c>
      <c r="L1064" s="1005">
        <v>1</v>
      </c>
      <c r="M1064" s="1004"/>
      <c r="N1064" s="1006">
        <v>0.4</v>
      </c>
      <c r="O1064" s="1006">
        <v>0.6</v>
      </c>
      <c r="P1064" s="1008" t="s">
        <v>1529</v>
      </c>
    </row>
    <row r="1065" spans="1:16" ht="25.5" x14ac:dyDescent="0.25">
      <c r="A1065" s="1003" t="s">
        <v>1530</v>
      </c>
      <c r="B1065" s="1004" t="s">
        <v>1531</v>
      </c>
      <c r="C1065" s="1005" t="s">
        <v>1532</v>
      </c>
      <c r="D1065" s="1005" t="s">
        <v>1533</v>
      </c>
      <c r="E1065" s="1005">
        <v>20</v>
      </c>
      <c r="F1065" s="1005">
        <v>4</v>
      </c>
      <c r="G1065" s="1005">
        <v>0</v>
      </c>
      <c r="H1065" s="1005">
        <v>0</v>
      </c>
      <c r="I1065" s="1005">
        <v>24</v>
      </c>
      <c r="J1065" s="1005">
        <v>26</v>
      </c>
      <c r="K1065" s="1005">
        <v>50</v>
      </c>
      <c r="L1065" s="1005">
        <v>2</v>
      </c>
      <c r="M1065" s="1004">
        <v>3</v>
      </c>
      <c r="N1065" s="1006">
        <v>0.4</v>
      </c>
      <c r="O1065" s="1006">
        <v>0.6</v>
      </c>
      <c r="P1065" s="1008" t="s">
        <v>1587</v>
      </c>
    </row>
    <row r="1066" spans="1:16" ht="20.25" customHeight="1" x14ac:dyDescent="0.25">
      <c r="A1066" s="1003"/>
      <c r="B1066" s="1004"/>
      <c r="C1066" s="1005" t="s">
        <v>1534</v>
      </c>
      <c r="D1066" s="1005" t="s">
        <v>1535</v>
      </c>
      <c r="E1066" s="1005">
        <v>12</v>
      </c>
      <c r="F1066" s="1005">
        <v>0</v>
      </c>
      <c r="G1066" s="1005">
        <v>0</v>
      </c>
      <c r="H1066" s="1005">
        <v>0</v>
      </c>
      <c r="I1066" s="1005">
        <v>12</v>
      </c>
      <c r="J1066" s="1005">
        <v>13</v>
      </c>
      <c r="K1066" s="1005">
        <v>25</v>
      </c>
      <c r="L1066" s="1005">
        <v>1</v>
      </c>
      <c r="M1066" s="1004"/>
      <c r="N1066" s="1006">
        <v>0.4</v>
      </c>
      <c r="O1066" s="1006">
        <v>0.6</v>
      </c>
      <c r="P1066" s="1008" t="s">
        <v>1587</v>
      </c>
    </row>
    <row r="1067" spans="1:16" x14ac:dyDescent="0.25">
      <c r="A1067" s="887" t="s">
        <v>1263</v>
      </c>
      <c r="B1067" s="888"/>
      <c r="C1067" s="888"/>
      <c r="D1067" s="888"/>
      <c r="E1067" s="888"/>
      <c r="F1067" s="888"/>
      <c r="G1067" s="888"/>
      <c r="H1067" s="888"/>
      <c r="I1067" s="888"/>
      <c r="J1067" s="888"/>
      <c r="K1067" s="888"/>
      <c r="L1067" s="888"/>
      <c r="M1067" s="888"/>
      <c r="N1067" s="888"/>
      <c r="O1067" s="888"/>
      <c r="P1067" s="889"/>
    </row>
    <row r="1068" spans="1:16" ht="18.75" customHeight="1" x14ac:dyDescent="0.25">
      <c r="A1068" s="1003" t="s">
        <v>1536</v>
      </c>
      <c r="B1068" s="1004" t="s">
        <v>1537</v>
      </c>
      <c r="C1068" s="1005" t="s">
        <v>1538</v>
      </c>
      <c r="D1068" s="1005" t="s">
        <v>1539</v>
      </c>
      <c r="E1068" s="1005">
        <v>24</v>
      </c>
      <c r="F1068" s="1005">
        <v>0</v>
      </c>
      <c r="G1068" s="1005">
        <v>0</v>
      </c>
      <c r="H1068" s="1005">
        <v>0</v>
      </c>
      <c r="I1068" s="1005">
        <v>24</v>
      </c>
      <c r="J1068" s="1005">
        <v>26</v>
      </c>
      <c r="K1068" s="1005">
        <v>50</v>
      </c>
      <c r="L1068" s="1005">
        <v>2</v>
      </c>
      <c r="M1068" s="1004">
        <v>5</v>
      </c>
      <c r="N1068" s="1006">
        <v>0.4</v>
      </c>
      <c r="O1068" s="1006">
        <v>0.6</v>
      </c>
      <c r="P1068" s="1008" t="s">
        <v>1540</v>
      </c>
    </row>
    <row r="1069" spans="1:16" x14ac:dyDescent="0.25">
      <c r="A1069" s="1003"/>
      <c r="B1069" s="1004"/>
      <c r="C1069" s="1004" t="s">
        <v>1541</v>
      </c>
      <c r="D1069" s="1004" t="s">
        <v>1542</v>
      </c>
      <c r="E1069" s="1004">
        <v>36</v>
      </c>
      <c r="F1069" s="1004">
        <v>0</v>
      </c>
      <c r="G1069" s="1004">
        <v>0</v>
      </c>
      <c r="H1069" s="1004">
        <v>0</v>
      </c>
      <c r="I1069" s="1004">
        <v>36</v>
      </c>
      <c r="J1069" s="1004">
        <v>39</v>
      </c>
      <c r="K1069" s="1004">
        <v>75</v>
      </c>
      <c r="L1069" s="1004">
        <v>3</v>
      </c>
      <c r="M1069" s="1004"/>
      <c r="N1069" s="1009">
        <v>0.4</v>
      </c>
      <c r="O1069" s="1009">
        <v>0.6</v>
      </c>
      <c r="P1069" s="1010" t="s">
        <v>1543</v>
      </c>
    </row>
    <row r="1070" spans="1:16" ht="10.5" customHeight="1" x14ac:dyDescent="0.25">
      <c r="A1070" s="1003"/>
      <c r="B1070" s="1004"/>
      <c r="C1070" s="1004"/>
      <c r="D1070" s="1004"/>
      <c r="E1070" s="1004"/>
      <c r="F1070" s="1004"/>
      <c r="G1070" s="1004"/>
      <c r="H1070" s="1004"/>
      <c r="I1070" s="1004"/>
      <c r="J1070" s="1004"/>
      <c r="K1070" s="1004"/>
      <c r="L1070" s="1004"/>
      <c r="M1070" s="1004"/>
      <c r="N1070" s="1009"/>
      <c r="O1070" s="1009"/>
      <c r="P1070" s="1010"/>
    </row>
    <row r="1071" spans="1:16" x14ac:dyDescent="0.25">
      <c r="A1071" s="887" t="s">
        <v>1281</v>
      </c>
      <c r="B1071" s="888"/>
      <c r="C1071" s="888"/>
      <c r="D1071" s="888"/>
      <c r="E1071" s="888"/>
      <c r="F1071" s="888"/>
      <c r="G1071" s="888"/>
      <c r="H1071" s="888"/>
      <c r="I1071" s="888"/>
      <c r="J1071" s="888"/>
      <c r="K1071" s="888"/>
      <c r="L1071" s="888"/>
      <c r="M1071" s="888"/>
      <c r="N1071" s="888"/>
      <c r="O1071" s="888"/>
      <c r="P1071" s="889"/>
    </row>
    <row r="1072" spans="1:16" ht="24" x14ac:dyDescent="0.25">
      <c r="A1072" s="1011" t="s">
        <v>1544</v>
      </c>
      <c r="B1072" s="1005" t="s">
        <v>1545</v>
      </c>
      <c r="C1072" s="1005" t="s">
        <v>1544</v>
      </c>
      <c r="D1072" s="1005" t="s">
        <v>1545</v>
      </c>
      <c r="E1072" s="1005">
        <v>12</v>
      </c>
      <c r="F1072" s="1005">
        <v>0</v>
      </c>
      <c r="G1072" s="1005">
        <v>0</v>
      </c>
      <c r="H1072" s="1005">
        <v>0</v>
      </c>
      <c r="I1072" s="1005">
        <v>12</v>
      </c>
      <c r="J1072" s="1005">
        <v>13</v>
      </c>
      <c r="K1072" s="1005">
        <v>25</v>
      </c>
      <c r="L1072" s="1005">
        <v>1</v>
      </c>
      <c r="M1072" s="1005">
        <v>1</v>
      </c>
      <c r="N1072" s="1006">
        <v>0.4</v>
      </c>
      <c r="O1072" s="1006">
        <v>0.6</v>
      </c>
      <c r="P1072" s="1008" t="s">
        <v>1546</v>
      </c>
    </row>
    <row r="1073" spans="1:16" ht="25.5" x14ac:dyDescent="0.25">
      <c r="A1073" s="1012" t="s">
        <v>772</v>
      </c>
      <c r="B1073" s="1005" t="s">
        <v>674</v>
      </c>
      <c r="C1073" s="1013" t="s">
        <v>772</v>
      </c>
      <c r="D1073" s="1013" t="s">
        <v>674</v>
      </c>
      <c r="E1073" s="1005">
        <v>0</v>
      </c>
      <c r="F1073" s="1005">
        <v>24</v>
      </c>
      <c r="G1073" s="1005">
        <v>0</v>
      </c>
      <c r="H1073" s="1005">
        <v>0</v>
      </c>
      <c r="I1073" s="1005">
        <v>24</v>
      </c>
      <c r="J1073" s="1005">
        <v>26</v>
      </c>
      <c r="K1073" s="1005">
        <v>50</v>
      </c>
      <c r="L1073" s="1005">
        <v>2</v>
      </c>
      <c r="M1073" s="1005">
        <v>2</v>
      </c>
      <c r="N1073" s="1006">
        <v>0.4</v>
      </c>
      <c r="O1073" s="1006">
        <v>0.6</v>
      </c>
      <c r="P1073" s="1008" t="s">
        <v>1476</v>
      </c>
    </row>
    <row r="1074" spans="1:16" ht="15.75" thickBot="1" x14ac:dyDescent="0.3">
      <c r="A1074" s="890" t="s">
        <v>1400</v>
      </c>
      <c r="B1074" s="891"/>
      <c r="C1074" s="891"/>
      <c r="D1074" s="891"/>
      <c r="E1074" s="1014">
        <v>278</v>
      </c>
      <c r="F1074" s="1014">
        <v>94</v>
      </c>
      <c r="G1074" s="1014">
        <v>0</v>
      </c>
      <c r="H1074" s="1014">
        <v>0</v>
      </c>
      <c r="I1074" s="1014">
        <v>360</v>
      </c>
      <c r="J1074" s="1014">
        <v>390</v>
      </c>
      <c r="K1074" s="1014">
        <v>750</v>
      </c>
      <c r="L1074" s="1014">
        <v>30</v>
      </c>
      <c r="M1074" s="1014">
        <v>30</v>
      </c>
      <c r="N1074" s="1014"/>
      <c r="O1074" s="1014"/>
      <c r="P1074" s="1015"/>
    </row>
    <row r="1075" spans="1:16" ht="18.75" x14ac:dyDescent="0.3">
      <c r="A1075" s="1016"/>
      <c r="B1075" s="1016"/>
      <c r="D1075" s="971" t="s">
        <v>1498</v>
      </c>
      <c r="P1075" s="709"/>
    </row>
    <row r="1076" spans="1:16" ht="16.5" thickBot="1" x14ac:dyDescent="0.3">
      <c r="D1076" s="971" t="s">
        <v>1547</v>
      </c>
      <c r="P1076" s="709"/>
    </row>
    <row r="1077" spans="1:16" ht="22.5" customHeight="1" thickTop="1" thickBot="1" x14ac:dyDescent="0.3">
      <c r="A1077" s="1017" t="s">
        <v>248</v>
      </c>
      <c r="B1077" s="1018"/>
      <c r="C1077" s="1018"/>
      <c r="D1077" s="1019"/>
      <c r="E1077" s="1020" t="s">
        <v>1296</v>
      </c>
      <c r="F1077" s="1018"/>
      <c r="G1077" s="1018"/>
      <c r="H1077" s="1018"/>
      <c r="I1077" s="1018"/>
      <c r="J1077" s="1018"/>
      <c r="K1077" s="1019"/>
      <c r="L1077" s="1021" t="s">
        <v>1297</v>
      </c>
      <c r="M1077" s="1021" t="s">
        <v>253</v>
      </c>
      <c r="N1077" s="1020" t="s">
        <v>1548</v>
      </c>
      <c r="O1077" s="1019"/>
      <c r="P1077" s="1022" t="s">
        <v>1549</v>
      </c>
    </row>
    <row r="1078" spans="1:16" ht="24.75" thickBot="1" x14ac:dyDescent="0.3">
      <c r="A1078" s="1023" t="s">
        <v>13</v>
      </c>
      <c r="B1078" s="980" t="s">
        <v>1298</v>
      </c>
      <c r="C1078" s="1024" t="s">
        <v>15</v>
      </c>
      <c r="D1078" s="1024" t="s">
        <v>16</v>
      </c>
      <c r="E1078" s="1024" t="s">
        <v>17</v>
      </c>
      <c r="F1078" s="1024" t="s">
        <v>18</v>
      </c>
      <c r="G1078" s="1024" t="s">
        <v>1439</v>
      </c>
      <c r="H1078" s="1024" t="s">
        <v>1299</v>
      </c>
      <c r="I1078" s="1024" t="s">
        <v>1300</v>
      </c>
      <c r="J1078" s="1024" t="s">
        <v>22</v>
      </c>
      <c r="K1078" s="1024" t="s">
        <v>1301</v>
      </c>
      <c r="L1078" s="1025"/>
      <c r="M1078" s="1025"/>
      <c r="N1078" s="1024" t="s">
        <v>1550</v>
      </c>
      <c r="O1078" s="1024" t="s">
        <v>1551</v>
      </c>
      <c r="P1078" s="1026"/>
    </row>
    <row r="1079" spans="1:16" ht="12.75" customHeight="1" thickTop="1" thickBot="1" x14ac:dyDescent="0.3">
      <c r="A1079" s="1027" t="s">
        <v>1440</v>
      </c>
      <c r="B1079" s="928"/>
      <c r="C1079" s="928"/>
      <c r="D1079" s="928"/>
      <c r="E1079" s="928"/>
      <c r="F1079" s="928"/>
      <c r="G1079" s="928"/>
      <c r="H1079" s="928"/>
      <c r="I1079" s="928"/>
      <c r="J1079" s="928"/>
      <c r="K1079" s="928"/>
      <c r="L1079" s="928"/>
      <c r="M1079" s="928"/>
      <c r="N1079" s="928"/>
      <c r="O1079" s="928"/>
      <c r="P1079" s="1028"/>
    </row>
    <row r="1080" spans="1:16" ht="24.75" thickBot="1" x14ac:dyDescent="0.3">
      <c r="A1080" s="1029" t="s">
        <v>1552</v>
      </c>
      <c r="B1080" s="1030" t="s">
        <v>1553</v>
      </c>
      <c r="C1080" s="959" t="s">
        <v>1554</v>
      </c>
      <c r="D1080" s="959" t="s">
        <v>1555</v>
      </c>
      <c r="E1080" s="959">
        <v>20</v>
      </c>
      <c r="F1080" s="959">
        <v>4</v>
      </c>
      <c r="G1080" s="959">
        <v>0</v>
      </c>
      <c r="H1080" s="959">
        <v>0</v>
      </c>
      <c r="I1080" s="959">
        <v>24</v>
      </c>
      <c r="J1080" s="959">
        <v>26</v>
      </c>
      <c r="K1080" s="959">
        <v>50</v>
      </c>
      <c r="L1080" s="959">
        <v>2</v>
      </c>
      <c r="M1080" s="1030">
        <v>5</v>
      </c>
      <c r="N1080" s="1031">
        <v>0.4</v>
      </c>
      <c r="O1080" s="959" t="s">
        <v>1556</v>
      </c>
      <c r="P1080" s="1032" t="s">
        <v>1557</v>
      </c>
    </row>
    <row r="1081" spans="1:16" ht="21" customHeight="1" thickBot="1" x14ac:dyDescent="0.3">
      <c r="A1081" s="1033"/>
      <c r="B1081" s="1034"/>
      <c r="C1081" s="959" t="s">
        <v>1558</v>
      </c>
      <c r="D1081" s="959" t="s">
        <v>1559</v>
      </c>
      <c r="E1081" s="959">
        <v>36</v>
      </c>
      <c r="F1081" s="959">
        <v>0</v>
      </c>
      <c r="G1081" s="959">
        <v>0</v>
      </c>
      <c r="H1081" s="959">
        <v>0</v>
      </c>
      <c r="I1081" s="959">
        <v>36</v>
      </c>
      <c r="J1081" s="959">
        <v>39</v>
      </c>
      <c r="K1081" s="959">
        <v>75</v>
      </c>
      <c r="L1081" s="959">
        <v>3</v>
      </c>
      <c r="M1081" s="1034"/>
      <c r="N1081" s="1031">
        <v>0.4</v>
      </c>
      <c r="O1081" s="1031">
        <v>0.6</v>
      </c>
      <c r="P1081" s="1032" t="s">
        <v>1462</v>
      </c>
    </row>
    <row r="1082" spans="1:16" x14ac:dyDescent="0.25">
      <c r="A1082" s="1110" t="s">
        <v>1560</v>
      </c>
      <c r="B1082" s="1111" t="s">
        <v>1561</v>
      </c>
      <c r="C1082" s="1112" t="s">
        <v>1562</v>
      </c>
      <c r="D1082" s="1112" t="s">
        <v>1563</v>
      </c>
      <c r="E1082" s="1112">
        <v>24</v>
      </c>
      <c r="F1082" s="1113">
        <v>0</v>
      </c>
      <c r="G1082" s="1112">
        <v>0</v>
      </c>
      <c r="H1082" s="1112">
        <v>0</v>
      </c>
      <c r="I1082" s="1112">
        <v>24</v>
      </c>
      <c r="J1082" s="1112">
        <v>26</v>
      </c>
      <c r="K1082" s="1112">
        <v>50</v>
      </c>
      <c r="L1082" s="1112">
        <v>2</v>
      </c>
      <c r="M1082" s="1111">
        <v>4</v>
      </c>
      <c r="N1082" s="1114">
        <v>0.4</v>
      </c>
      <c r="O1082" s="1114">
        <v>0.6</v>
      </c>
      <c r="P1082" s="1115" t="s">
        <v>1475</v>
      </c>
    </row>
    <row r="1083" spans="1:16" ht="23.25" customHeight="1" thickBot="1" x14ac:dyDescent="0.3">
      <c r="A1083" s="1116"/>
      <c r="B1083" s="1117"/>
      <c r="C1083" s="1118" t="s">
        <v>1564</v>
      </c>
      <c r="D1083" s="1118" t="s">
        <v>1565</v>
      </c>
      <c r="E1083" s="1118">
        <v>24</v>
      </c>
      <c r="F1083" s="1118">
        <v>0</v>
      </c>
      <c r="G1083" s="1118">
        <v>0</v>
      </c>
      <c r="H1083" s="1118">
        <v>0</v>
      </c>
      <c r="I1083" s="1118">
        <v>24</v>
      </c>
      <c r="J1083" s="1118">
        <v>26</v>
      </c>
      <c r="K1083" s="1118">
        <v>50</v>
      </c>
      <c r="L1083" s="1118">
        <v>2</v>
      </c>
      <c r="M1083" s="1117"/>
      <c r="N1083" s="1119">
        <v>0.4</v>
      </c>
      <c r="O1083" s="1119">
        <v>0.6</v>
      </c>
      <c r="P1083" s="1120" t="s">
        <v>1566</v>
      </c>
    </row>
    <row r="1084" spans="1:16" ht="24.75" thickBot="1" x14ac:dyDescent="0.3">
      <c r="A1084" s="1035" t="s">
        <v>1567</v>
      </c>
      <c r="B1084" s="1036" t="s">
        <v>1568</v>
      </c>
      <c r="C1084" s="959" t="s">
        <v>1569</v>
      </c>
      <c r="D1084" s="959" t="s">
        <v>1570</v>
      </c>
      <c r="E1084" s="959">
        <v>24</v>
      </c>
      <c r="F1084" s="959">
        <v>0</v>
      </c>
      <c r="G1084" s="959">
        <v>0</v>
      </c>
      <c r="H1084" s="959">
        <v>0</v>
      </c>
      <c r="I1084" s="959">
        <v>24</v>
      </c>
      <c r="J1084" s="959">
        <v>26</v>
      </c>
      <c r="K1084" s="959">
        <v>50</v>
      </c>
      <c r="L1084" s="959">
        <v>2</v>
      </c>
      <c r="M1084" s="1036">
        <v>3</v>
      </c>
      <c r="N1084" s="1031">
        <v>0.4</v>
      </c>
      <c r="O1084" s="1031">
        <v>0.6</v>
      </c>
      <c r="P1084" s="1032" t="s">
        <v>1462</v>
      </c>
    </row>
    <row r="1085" spans="1:16" ht="24.75" thickBot="1" x14ac:dyDescent="0.3">
      <c r="A1085" s="1033"/>
      <c r="B1085" s="1034"/>
      <c r="C1085" s="959" t="s">
        <v>1571</v>
      </c>
      <c r="D1085" s="959" t="s">
        <v>1572</v>
      </c>
      <c r="E1085" s="959">
        <v>12</v>
      </c>
      <c r="F1085" s="959">
        <v>0</v>
      </c>
      <c r="G1085" s="959">
        <v>0</v>
      </c>
      <c r="H1085" s="959">
        <v>0</v>
      </c>
      <c r="I1085" s="959">
        <v>12</v>
      </c>
      <c r="J1085" s="959">
        <v>13</v>
      </c>
      <c r="K1085" s="959">
        <v>25</v>
      </c>
      <c r="L1085" s="959">
        <v>1</v>
      </c>
      <c r="M1085" s="1034"/>
      <c r="N1085" s="1031">
        <v>0.4</v>
      </c>
      <c r="O1085" s="1031">
        <v>0.6</v>
      </c>
      <c r="P1085" s="1032" t="s">
        <v>1566</v>
      </c>
    </row>
    <row r="1086" spans="1:16" ht="32.25" customHeight="1" thickBot="1" x14ac:dyDescent="0.3">
      <c r="A1086" s="1029" t="s">
        <v>1573</v>
      </c>
      <c r="B1086" s="1030" t="s">
        <v>1574</v>
      </c>
      <c r="C1086" s="959" t="s">
        <v>1575</v>
      </c>
      <c r="D1086" s="959" t="s">
        <v>1576</v>
      </c>
      <c r="E1086" s="959">
        <v>24</v>
      </c>
      <c r="F1086" s="959">
        <v>0</v>
      </c>
      <c r="G1086" s="959">
        <v>0</v>
      </c>
      <c r="H1086" s="959">
        <v>0</v>
      </c>
      <c r="I1086" s="959">
        <v>24</v>
      </c>
      <c r="J1086" s="959">
        <v>26</v>
      </c>
      <c r="K1086" s="959">
        <v>50</v>
      </c>
      <c r="L1086" s="959">
        <v>2</v>
      </c>
      <c r="M1086" s="1030">
        <v>3</v>
      </c>
      <c r="N1086" s="1031">
        <v>0.4</v>
      </c>
      <c r="O1086" s="1031">
        <v>0.6</v>
      </c>
      <c r="P1086" s="1032" t="s">
        <v>1475</v>
      </c>
    </row>
    <row r="1087" spans="1:16" ht="24.75" thickBot="1" x14ac:dyDescent="0.3">
      <c r="A1087" s="1033"/>
      <c r="B1087" s="1034"/>
      <c r="C1087" s="959" t="s">
        <v>1577</v>
      </c>
      <c r="D1087" s="959" t="s">
        <v>1578</v>
      </c>
      <c r="E1087" s="959">
        <v>12</v>
      </c>
      <c r="F1087" s="959">
        <v>0</v>
      </c>
      <c r="G1087" s="959">
        <v>0</v>
      </c>
      <c r="H1087" s="959">
        <v>0</v>
      </c>
      <c r="I1087" s="959">
        <v>12</v>
      </c>
      <c r="J1087" s="959">
        <v>13</v>
      </c>
      <c r="K1087" s="959">
        <v>25</v>
      </c>
      <c r="L1087" s="959">
        <v>1</v>
      </c>
      <c r="M1087" s="1034"/>
      <c r="N1087" s="1031">
        <v>0.4</v>
      </c>
      <c r="O1087" s="1031">
        <v>0.6</v>
      </c>
      <c r="P1087" s="1032" t="s">
        <v>1475</v>
      </c>
    </row>
    <row r="1088" spans="1:16" ht="11.25" customHeight="1" thickBot="1" x14ac:dyDescent="0.3">
      <c r="A1088" s="952" t="s">
        <v>1447</v>
      </c>
      <c r="B1088" s="953"/>
      <c r="C1088" s="953"/>
      <c r="D1088" s="953"/>
      <c r="E1088" s="953"/>
      <c r="F1088" s="953"/>
      <c r="G1088" s="953"/>
      <c r="H1088" s="953"/>
      <c r="I1088" s="953"/>
      <c r="J1088" s="953"/>
      <c r="K1088" s="953"/>
      <c r="L1088" s="953"/>
      <c r="M1088" s="953"/>
      <c r="N1088" s="953"/>
      <c r="O1088" s="953"/>
      <c r="P1088" s="954"/>
    </row>
    <row r="1089" spans="1:16" ht="24.75" thickBot="1" x14ac:dyDescent="0.3">
      <c r="A1089" s="1029" t="s">
        <v>1515</v>
      </c>
      <c r="B1089" s="1030" t="s">
        <v>1516</v>
      </c>
      <c r="C1089" s="959" t="s">
        <v>1517</v>
      </c>
      <c r="D1089" s="959" t="s">
        <v>1518</v>
      </c>
      <c r="E1089" s="959">
        <v>10</v>
      </c>
      <c r="F1089" s="959">
        <v>14</v>
      </c>
      <c r="G1089" s="959">
        <v>0</v>
      </c>
      <c r="H1089" s="959">
        <v>0</v>
      </c>
      <c r="I1089" s="959">
        <v>24</v>
      </c>
      <c r="J1089" s="959">
        <v>26</v>
      </c>
      <c r="K1089" s="959">
        <v>50</v>
      </c>
      <c r="L1089" s="959">
        <v>2</v>
      </c>
      <c r="M1089" s="1030">
        <v>5</v>
      </c>
      <c r="N1089" s="1031">
        <v>0.4</v>
      </c>
      <c r="O1089" s="1031">
        <v>0.6</v>
      </c>
      <c r="P1089" s="958" t="s">
        <v>1596</v>
      </c>
    </row>
    <row r="1090" spans="1:16" ht="21.75" customHeight="1" thickBot="1" x14ac:dyDescent="0.3">
      <c r="A1090" s="1035"/>
      <c r="B1090" s="1036"/>
      <c r="C1090" s="959" t="s">
        <v>1519</v>
      </c>
      <c r="D1090" s="959" t="s">
        <v>1520</v>
      </c>
      <c r="E1090" s="959">
        <v>10</v>
      </c>
      <c r="F1090" s="959">
        <v>14</v>
      </c>
      <c r="G1090" s="959">
        <v>0</v>
      </c>
      <c r="H1090" s="959">
        <v>0</v>
      </c>
      <c r="I1090" s="959">
        <v>24</v>
      </c>
      <c r="J1090" s="959">
        <v>26</v>
      </c>
      <c r="K1090" s="959">
        <v>50</v>
      </c>
      <c r="L1090" s="959">
        <v>2</v>
      </c>
      <c r="M1090" s="1036"/>
      <c r="N1090" s="1031">
        <v>0.4</v>
      </c>
      <c r="O1090" s="1031">
        <v>0.6</v>
      </c>
      <c r="P1090" s="958" t="s">
        <v>1596</v>
      </c>
    </row>
    <row r="1091" spans="1:16" ht="24.75" thickBot="1" x14ac:dyDescent="0.3">
      <c r="A1091" s="1033"/>
      <c r="B1091" s="1034"/>
      <c r="C1091" s="959" t="s">
        <v>1521</v>
      </c>
      <c r="D1091" s="959" t="s">
        <v>1522</v>
      </c>
      <c r="E1091" s="959">
        <v>8</v>
      </c>
      <c r="F1091" s="959">
        <v>4</v>
      </c>
      <c r="G1091" s="959">
        <v>0</v>
      </c>
      <c r="H1091" s="959">
        <v>0</v>
      </c>
      <c r="I1091" s="959">
        <v>12</v>
      </c>
      <c r="J1091" s="959">
        <v>13</v>
      </c>
      <c r="K1091" s="959">
        <v>25</v>
      </c>
      <c r="L1091" s="959">
        <v>1</v>
      </c>
      <c r="M1091" s="1034"/>
      <c r="N1091" s="1031">
        <v>0.4</v>
      </c>
      <c r="O1091" s="1031">
        <v>0.6</v>
      </c>
      <c r="P1091" s="958" t="s">
        <v>1596</v>
      </c>
    </row>
    <row r="1092" spans="1:16" ht="21.75" customHeight="1" thickBot="1" x14ac:dyDescent="0.3">
      <c r="A1092" s="1029" t="s">
        <v>1523</v>
      </c>
      <c r="B1092" s="1030" t="s">
        <v>1524</v>
      </c>
      <c r="C1092" s="959" t="s">
        <v>1525</v>
      </c>
      <c r="D1092" s="959" t="s">
        <v>1526</v>
      </c>
      <c r="E1092" s="959">
        <v>20</v>
      </c>
      <c r="F1092" s="959">
        <v>4</v>
      </c>
      <c r="G1092" s="959">
        <v>0</v>
      </c>
      <c r="H1092" s="959">
        <v>0</v>
      </c>
      <c r="I1092" s="959">
        <v>24</v>
      </c>
      <c r="J1092" s="959">
        <v>26</v>
      </c>
      <c r="K1092" s="959">
        <v>50</v>
      </c>
      <c r="L1092" s="959">
        <v>2</v>
      </c>
      <c r="M1092" s="1030">
        <v>3</v>
      </c>
      <c r="N1092" s="1031">
        <v>0.4</v>
      </c>
      <c r="O1092" s="1031">
        <v>0.6</v>
      </c>
      <c r="P1092" s="1037" t="s">
        <v>1592</v>
      </c>
    </row>
    <row r="1093" spans="1:16" ht="22.5" customHeight="1" thickBot="1" x14ac:dyDescent="0.3">
      <c r="A1093" s="1033"/>
      <c r="B1093" s="1034"/>
      <c r="C1093" s="959" t="s">
        <v>1527</v>
      </c>
      <c r="D1093" s="959" t="s">
        <v>1528</v>
      </c>
      <c r="E1093" s="959">
        <v>12</v>
      </c>
      <c r="F1093" s="959">
        <v>0</v>
      </c>
      <c r="G1093" s="959">
        <v>0</v>
      </c>
      <c r="H1093" s="959">
        <v>0</v>
      </c>
      <c r="I1093" s="959">
        <v>12</v>
      </c>
      <c r="J1093" s="959">
        <v>13</v>
      </c>
      <c r="K1093" s="959">
        <v>25</v>
      </c>
      <c r="L1093" s="959">
        <v>1</v>
      </c>
      <c r="M1093" s="1034"/>
      <c r="N1093" s="1031">
        <v>0.4</v>
      </c>
      <c r="O1093" s="1031">
        <v>0.6</v>
      </c>
      <c r="P1093" s="1037" t="s">
        <v>1529</v>
      </c>
    </row>
    <row r="1094" spans="1:16" ht="12" customHeight="1" thickBot="1" x14ac:dyDescent="0.3">
      <c r="A1094" s="952" t="s">
        <v>1263</v>
      </c>
      <c r="B1094" s="953"/>
      <c r="C1094" s="953"/>
      <c r="D1094" s="953"/>
      <c r="E1094" s="953"/>
      <c r="F1094" s="953"/>
      <c r="G1094" s="953"/>
      <c r="H1094" s="953"/>
      <c r="I1094" s="953"/>
      <c r="J1094" s="953"/>
      <c r="K1094" s="953"/>
      <c r="L1094" s="953"/>
      <c r="M1094" s="953"/>
      <c r="N1094" s="953"/>
      <c r="O1094" s="953"/>
      <c r="P1094" s="954"/>
    </row>
    <row r="1095" spans="1:16" ht="15.75" thickBot="1" x14ac:dyDescent="0.3">
      <c r="A1095" s="1029" t="s">
        <v>1536</v>
      </c>
      <c r="B1095" s="1030" t="s">
        <v>1537</v>
      </c>
      <c r="C1095" s="959" t="s">
        <v>1538</v>
      </c>
      <c r="D1095" s="959" t="s">
        <v>1579</v>
      </c>
      <c r="E1095" s="959">
        <v>24</v>
      </c>
      <c r="F1095" s="959">
        <v>0</v>
      </c>
      <c r="G1095" s="959">
        <v>0</v>
      </c>
      <c r="H1095" s="959">
        <v>0</v>
      </c>
      <c r="I1095" s="959">
        <v>24</v>
      </c>
      <c r="J1095" s="959">
        <v>26</v>
      </c>
      <c r="K1095" s="959">
        <v>50</v>
      </c>
      <c r="L1095" s="959">
        <v>2</v>
      </c>
      <c r="M1095" s="1030">
        <v>5</v>
      </c>
      <c r="N1095" s="1031">
        <v>0.4</v>
      </c>
      <c r="O1095" s="1031">
        <v>0.6</v>
      </c>
      <c r="P1095" s="1037" t="s">
        <v>1540</v>
      </c>
    </row>
    <row r="1096" spans="1:16" ht="18.75" customHeight="1" thickBot="1" x14ac:dyDescent="0.3">
      <c r="A1096" s="1033"/>
      <c r="B1096" s="1034"/>
      <c r="C1096" s="1108" t="s">
        <v>1541</v>
      </c>
      <c r="D1096" s="1108" t="s">
        <v>1542</v>
      </c>
      <c r="E1096" s="1108">
        <v>36</v>
      </c>
      <c r="F1096" s="1108">
        <v>0</v>
      </c>
      <c r="G1096" s="1108">
        <v>0</v>
      </c>
      <c r="H1096" s="1108">
        <v>0</v>
      </c>
      <c r="I1096" s="1108">
        <v>36</v>
      </c>
      <c r="J1096" s="1108">
        <v>39</v>
      </c>
      <c r="K1096" s="1108">
        <v>75</v>
      </c>
      <c r="L1096" s="1108">
        <v>3</v>
      </c>
      <c r="M1096" s="1034"/>
      <c r="N1096" s="1031">
        <v>0.4</v>
      </c>
      <c r="O1096" s="1031">
        <v>0.6</v>
      </c>
      <c r="P1096" s="1109" t="s">
        <v>1597</v>
      </c>
    </row>
    <row r="1097" spans="1:16" ht="12.75" customHeight="1" thickBot="1" x14ac:dyDescent="0.3">
      <c r="A1097" s="952" t="s">
        <v>1281</v>
      </c>
      <c r="B1097" s="953"/>
      <c r="C1097" s="953"/>
      <c r="D1097" s="953"/>
      <c r="E1097" s="953"/>
      <c r="F1097" s="953"/>
      <c r="G1097" s="953"/>
      <c r="H1097" s="953"/>
      <c r="I1097" s="953"/>
      <c r="J1097" s="953"/>
      <c r="K1097" s="953"/>
      <c r="L1097" s="953"/>
      <c r="M1097" s="953"/>
      <c r="N1097" s="953"/>
      <c r="O1097" s="953"/>
      <c r="P1097" s="954"/>
    </row>
    <row r="1098" spans="1:16" ht="22.5" customHeight="1" thickBot="1" x14ac:dyDescent="0.3">
      <c r="A1098" s="1038" t="s">
        <v>1580</v>
      </c>
      <c r="B1098" s="959" t="s">
        <v>1030</v>
      </c>
      <c r="C1098" s="959" t="s">
        <v>1580</v>
      </c>
      <c r="D1098" s="959" t="s">
        <v>1030</v>
      </c>
      <c r="E1098" s="959">
        <v>24</v>
      </c>
      <c r="F1098" s="959">
        <v>0</v>
      </c>
      <c r="G1098" s="959">
        <v>0</v>
      </c>
      <c r="H1098" s="959">
        <v>0</v>
      </c>
      <c r="I1098" s="959">
        <v>24</v>
      </c>
      <c r="J1098" s="959">
        <v>26</v>
      </c>
      <c r="K1098" s="959">
        <v>50</v>
      </c>
      <c r="L1098" s="959">
        <v>2</v>
      </c>
      <c r="M1098" s="959">
        <v>2</v>
      </c>
      <c r="N1098" s="1031">
        <v>0.4</v>
      </c>
      <c r="O1098" s="1031">
        <v>0.6</v>
      </c>
      <c r="P1098" s="1037" t="s">
        <v>1476</v>
      </c>
    </row>
    <row r="1099" spans="1:16" ht="12" customHeight="1" thickBot="1" x14ac:dyDescent="0.3">
      <c r="A1099" s="960" t="s">
        <v>1400</v>
      </c>
      <c r="B1099" s="961"/>
      <c r="C1099" s="961"/>
      <c r="D1099" s="962"/>
      <c r="E1099" s="1039">
        <v>332</v>
      </c>
      <c r="F1099" s="1039">
        <v>44</v>
      </c>
      <c r="G1099" s="1039">
        <v>0</v>
      </c>
      <c r="H1099" s="1039">
        <v>0</v>
      </c>
      <c r="I1099" s="1039">
        <v>360</v>
      </c>
      <c r="J1099" s="1039">
        <v>390</v>
      </c>
      <c r="K1099" s="1039">
        <v>750</v>
      </c>
      <c r="L1099" s="1039">
        <v>30</v>
      </c>
      <c r="M1099" s="1039">
        <v>30</v>
      </c>
      <c r="N1099" s="1039"/>
      <c r="O1099" s="1039"/>
      <c r="P1099" s="1040"/>
    </row>
    <row r="1100" spans="1:16" ht="15.75" thickTop="1" x14ac:dyDescent="0.25">
      <c r="P1100" s="709"/>
    </row>
    <row r="1101" spans="1:16" x14ac:dyDescent="0.25">
      <c r="P1101" s="709"/>
    </row>
    <row r="1102" spans="1:16" x14ac:dyDescent="0.25">
      <c r="P1102" s="709"/>
    </row>
    <row r="1103" spans="1:16" ht="18.75" x14ac:dyDescent="0.3">
      <c r="A1103" s="1016"/>
      <c r="B1103" s="1016"/>
      <c r="D1103" s="971" t="s">
        <v>1581</v>
      </c>
      <c r="P1103" s="709"/>
    </row>
    <row r="1104" spans="1:16" ht="15.75" thickBot="1" x14ac:dyDescent="0.3">
      <c r="P1104" s="709"/>
    </row>
    <row r="1105" spans="1:16" ht="16.5" thickTop="1" thickBot="1" x14ac:dyDescent="0.3">
      <c r="A1105" s="1041" t="s">
        <v>1500</v>
      </c>
      <c r="B1105" s="1042"/>
      <c r="C1105" s="1042"/>
      <c r="D1105" s="1043"/>
      <c r="E1105" s="1020" t="s">
        <v>249</v>
      </c>
      <c r="F1105" s="1018"/>
      <c r="G1105" s="1018"/>
      <c r="H1105" s="1018"/>
      <c r="I1105" s="1018"/>
      <c r="J1105" s="1018"/>
      <c r="K1105" s="1019"/>
      <c r="L1105" s="1044" t="s">
        <v>1297</v>
      </c>
      <c r="M1105" s="934" t="s">
        <v>251</v>
      </c>
      <c r="N1105" s="935" t="s">
        <v>11</v>
      </c>
      <c r="O1105" s="936"/>
      <c r="P1105" s="1045" t="s">
        <v>12</v>
      </c>
    </row>
    <row r="1106" spans="1:16" ht="26.25" thickBot="1" x14ac:dyDescent="0.3">
      <c r="A1106" s="1046" t="s">
        <v>13</v>
      </c>
      <c r="B1106" s="980" t="s">
        <v>1298</v>
      </c>
      <c r="C1106" s="980" t="s">
        <v>15</v>
      </c>
      <c r="D1106" s="980" t="s">
        <v>16</v>
      </c>
      <c r="E1106" s="980" t="s">
        <v>17</v>
      </c>
      <c r="F1106" s="944" t="s">
        <v>18</v>
      </c>
      <c r="G1106" s="944" t="s">
        <v>19</v>
      </c>
      <c r="H1106" s="980" t="s">
        <v>1299</v>
      </c>
      <c r="I1106" s="980" t="s">
        <v>1300</v>
      </c>
      <c r="J1106" s="980" t="s">
        <v>22</v>
      </c>
      <c r="K1106" s="980" t="s">
        <v>1301</v>
      </c>
      <c r="L1106" s="1047"/>
      <c r="M1106" s="943"/>
      <c r="N1106" s="944" t="s">
        <v>24</v>
      </c>
      <c r="O1106" s="944" t="s">
        <v>25</v>
      </c>
      <c r="P1106" s="1048"/>
    </row>
    <row r="1107" spans="1:16" ht="15.75" thickBot="1" x14ac:dyDescent="0.3">
      <c r="A1107" s="946" t="s">
        <v>1440</v>
      </c>
      <c r="B1107" s="947"/>
      <c r="C1107" s="947"/>
      <c r="D1107" s="947"/>
      <c r="E1107" s="947"/>
      <c r="F1107" s="947"/>
      <c r="G1107" s="947"/>
      <c r="H1107" s="947"/>
      <c r="I1107" s="947"/>
      <c r="J1107" s="947"/>
      <c r="K1107" s="947"/>
      <c r="L1107" s="947"/>
      <c r="M1107" s="947"/>
      <c r="N1107" s="947"/>
      <c r="O1107" s="947"/>
      <c r="P1107" s="948"/>
    </row>
    <row r="1108" spans="1:16" ht="36.75" thickBot="1" x14ac:dyDescent="0.3">
      <c r="A1108" s="987" t="s">
        <v>1582</v>
      </c>
      <c r="B1108" s="979" t="s">
        <v>777</v>
      </c>
      <c r="C1108" s="975" t="s">
        <v>1582</v>
      </c>
      <c r="D1108" s="975" t="s">
        <v>777</v>
      </c>
      <c r="E1108" s="975">
        <v>0</v>
      </c>
      <c r="F1108" s="975">
        <v>0</v>
      </c>
      <c r="G1108" s="975">
        <v>0</v>
      </c>
      <c r="H1108" s="975">
        <v>360</v>
      </c>
      <c r="I1108" s="975">
        <v>360</v>
      </c>
      <c r="J1108" s="975">
        <v>390</v>
      </c>
      <c r="K1108" s="975">
        <v>750</v>
      </c>
      <c r="L1108" s="975">
        <v>30</v>
      </c>
      <c r="M1108" s="979">
        <v>30</v>
      </c>
      <c r="N1108" s="1049"/>
      <c r="O1108" s="1049"/>
      <c r="P1108" s="945" t="s">
        <v>1493</v>
      </c>
    </row>
    <row r="1109" spans="1:16" ht="15.75" thickBot="1" x14ac:dyDescent="0.3">
      <c r="A1109" s="1050" t="s">
        <v>1433</v>
      </c>
      <c r="B1109" s="1051"/>
      <c r="C1109" s="1051"/>
      <c r="D1109" s="1052"/>
      <c r="E1109" s="1053">
        <f>SUM(E1108)</f>
        <v>0</v>
      </c>
      <c r="F1109" s="1053">
        <f t="shared" ref="F1109:L1109" si="50">SUM(F1108)</f>
        <v>0</v>
      </c>
      <c r="G1109" s="1053">
        <f t="shared" si="50"/>
        <v>0</v>
      </c>
      <c r="H1109" s="1053">
        <f t="shared" si="50"/>
        <v>360</v>
      </c>
      <c r="I1109" s="1053">
        <f t="shared" si="50"/>
        <v>360</v>
      </c>
      <c r="J1109" s="1053">
        <f t="shared" si="50"/>
        <v>390</v>
      </c>
      <c r="K1109" s="1053">
        <f t="shared" si="50"/>
        <v>750</v>
      </c>
      <c r="L1109" s="1054">
        <f t="shared" si="50"/>
        <v>30</v>
      </c>
      <c r="M1109" s="1052"/>
      <c r="N1109" s="1053"/>
      <c r="O1109" s="1053"/>
      <c r="P1109" s="1055"/>
    </row>
    <row r="1110" spans="1:16" ht="15.75" thickTop="1" x14ac:dyDescent="0.25"/>
  </sheetData>
  <mergeCells count="1158">
    <mergeCell ref="A1107:P1107"/>
    <mergeCell ref="A1109:D1109"/>
    <mergeCell ref="L1109:M1109"/>
    <mergeCell ref="A1105:D1105"/>
    <mergeCell ref="E1105:K1105"/>
    <mergeCell ref="L1105:L1106"/>
    <mergeCell ref="M1105:M1106"/>
    <mergeCell ref="N1105:O1105"/>
    <mergeCell ref="P1105:P1106"/>
    <mergeCell ref="A1097:P1097"/>
    <mergeCell ref="A1099:D1099"/>
    <mergeCell ref="A1092:A1093"/>
    <mergeCell ref="B1092:B1093"/>
    <mergeCell ref="M1092:M1093"/>
    <mergeCell ref="A1094:P1094"/>
    <mergeCell ref="A1095:A1096"/>
    <mergeCell ref="B1095:B1096"/>
    <mergeCell ref="M1095:M1096"/>
    <mergeCell ref="A1086:A1087"/>
    <mergeCell ref="B1086:B1087"/>
    <mergeCell ref="M1086:M1087"/>
    <mergeCell ref="A1088:P1088"/>
    <mergeCell ref="A1089:A1091"/>
    <mergeCell ref="B1089:B1091"/>
    <mergeCell ref="M1089:M1091"/>
    <mergeCell ref="A1084:A1085"/>
    <mergeCell ref="B1084:B1085"/>
    <mergeCell ref="M1084:M1085"/>
    <mergeCell ref="A1079:P1079"/>
    <mergeCell ref="A1080:A1081"/>
    <mergeCell ref="B1080:B1081"/>
    <mergeCell ref="M1080:M1081"/>
    <mergeCell ref="A1082:A1083"/>
    <mergeCell ref="B1082:B1083"/>
    <mergeCell ref="M1082:M1083"/>
    <mergeCell ref="P1069:P1070"/>
    <mergeCell ref="A1071:P1071"/>
    <mergeCell ref="A1074:D1074"/>
    <mergeCell ref="A1077:D1077"/>
    <mergeCell ref="E1077:K1077"/>
    <mergeCell ref="L1077:L1078"/>
    <mergeCell ref="M1077:M1078"/>
    <mergeCell ref="N1077:O1077"/>
    <mergeCell ref="P1077:P1078"/>
    <mergeCell ref="I1069:I1070"/>
    <mergeCell ref="J1069:J1070"/>
    <mergeCell ref="K1069:K1070"/>
    <mergeCell ref="L1069:L1070"/>
    <mergeCell ref="N1069:N1070"/>
    <mergeCell ref="O1069:O1070"/>
    <mergeCell ref="A1067:P1067"/>
    <mergeCell ref="A1068:A1070"/>
    <mergeCell ref="B1068:B1070"/>
    <mergeCell ref="M1068:M1070"/>
    <mergeCell ref="C1069:C1070"/>
    <mergeCell ref="D1069:D1070"/>
    <mergeCell ref="E1069:E1070"/>
    <mergeCell ref="F1069:F1070"/>
    <mergeCell ref="G1069:G1070"/>
    <mergeCell ref="H1069:H1070"/>
    <mergeCell ref="A1063:A1064"/>
    <mergeCell ref="B1063:B1064"/>
    <mergeCell ref="M1063:M1064"/>
    <mergeCell ref="A1065:A1066"/>
    <mergeCell ref="B1065:B1066"/>
    <mergeCell ref="M1065:M1066"/>
    <mergeCell ref="A1056:A1058"/>
    <mergeCell ref="B1056:B1058"/>
    <mergeCell ref="M1056:M1058"/>
    <mergeCell ref="A1059:P1059"/>
    <mergeCell ref="A1060:A1062"/>
    <mergeCell ref="B1060:B1062"/>
    <mergeCell ref="M1060:M1062"/>
    <mergeCell ref="N1051:O1051"/>
    <mergeCell ref="P1051:P1052"/>
    <mergeCell ref="A1053:P1053"/>
    <mergeCell ref="A1054:A1055"/>
    <mergeCell ref="B1054:B1055"/>
    <mergeCell ref="M1054:M1055"/>
    <mergeCell ref="A1040:B1040"/>
    <mergeCell ref="C1040:D1040"/>
    <mergeCell ref="A1051:D1051"/>
    <mergeCell ref="E1051:K1051"/>
    <mergeCell ref="L1051:L1052"/>
    <mergeCell ref="M1051:M1052"/>
    <mergeCell ref="M1034:M1035"/>
    <mergeCell ref="N1034:N1035"/>
    <mergeCell ref="O1034:O1035"/>
    <mergeCell ref="P1034:P1035"/>
    <mergeCell ref="A1036:P1036"/>
    <mergeCell ref="A1037:A1038"/>
    <mergeCell ref="B1037:B1038"/>
    <mergeCell ref="M1037:M1038"/>
    <mergeCell ref="G1034:G1035"/>
    <mergeCell ref="H1034:H1035"/>
    <mergeCell ref="I1034:I1035"/>
    <mergeCell ref="J1034:J1035"/>
    <mergeCell ref="K1034:K1035"/>
    <mergeCell ref="L1034:L1035"/>
    <mergeCell ref="M1032:M1033"/>
    <mergeCell ref="N1032:N1033"/>
    <mergeCell ref="O1032:O1033"/>
    <mergeCell ref="P1032:P1033"/>
    <mergeCell ref="A1034:A1035"/>
    <mergeCell ref="B1034:B1035"/>
    <mergeCell ref="C1034:C1035"/>
    <mergeCell ref="D1034:D1035"/>
    <mergeCell ref="E1034:E1035"/>
    <mergeCell ref="F1034:F1035"/>
    <mergeCell ref="G1032:G1033"/>
    <mergeCell ref="H1032:H1033"/>
    <mergeCell ref="I1032:I1033"/>
    <mergeCell ref="J1032:J1033"/>
    <mergeCell ref="K1032:K1033"/>
    <mergeCell ref="L1032:L1033"/>
    <mergeCell ref="A1032:A1033"/>
    <mergeCell ref="B1032:B1033"/>
    <mergeCell ref="C1032:C1033"/>
    <mergeCell ref="D1032:D1033"/>
    <mergeCell ref="E1032:E1033"/>
    <mergeCell ref="F1032:F1033"/>
    <mergeCell ref="A1027:A1028"/>
    <mergeCell ref="B1027:B1028"/>
    <mergeCell ref="M1027:M1028"/>
    <mergeCell ref="A1029:P1029"/>
    <mergeCell ref="A1030:A1031"/>
    <mergeCell ref="B1030:B1031"/>
    <mergeCell ref="M1030:M1031"/>
    <mergeCell ref="B1024:D1024"/>
    <mergeCell ref="E1024:K1024"/>
    <mergeCell ref="L1024:L1025"/>
    <mergeCell ref="M1024:M1025"/>
    <mergeCell ref="N1024:O1024"/>
    <mergeCell ref="A1026:P1026"/>
    <mergeCell ref="A1014:P1014"/>
    <mergeCell ref="A1015:A1016"/>
    <mergeCell ref="B1015:B1016"/>
    <mergeCell ref="M1015:M1016"/>
    <mergeCell ref="A1017:P1017"/>
    <mergeCell ref="A1019:B1019"/>
    <mergeCell ref="C1019:D1019"/>
    <mergeCell ref="A1010:A1011"/>
    <mergeCell ref="B1010:B1011"/>
    <mergeCell ref="M1010:M1011"/>
    <mergeCell ref="A1012:A1013"/>
    <mergeCell ref="B1012:B1013"/>
    <mergeCell ref="M1012:M1013"/>
    <mergeCell ref="A1005:A1006"/>
    <mergeCell ref="B1005:B1006"/>
    <mergeCell ref="M1005:M1006"/>
    <mergeCell ref="A1007:A1009"/>
    <mergeCell ref="B1007:B1009"/>
    <mergeCell ref="M1007:M1009"/>
    <mergeCell ref="N999:O999"/>
    <mergeCell ref="A1001:P1001"/>
    <mergeCell ref="A1002:A1003"/>
    <mergeCell ref="B1002:B1003"/>
    <mergeCell ref="M1002:M1003"/>
    <mergeCell ref="A1004:P1004"/>
    <mergeCell ref="A969:D969"/>
    <mergeCell ref="L969:M969"/>
    <mergeCell ref="B999:D999"/>
    <mergeCell ref="E999:K999"/>
    <mergeCell ref="L999:L1000"/>
    <mergeCell ref="M999:M1000"/>
    <mergeCell ref="A955:P955"/>
    <mergeCell ref="A957:P957"/>
    <mergeCell ref="A960:D960"/>
    <mergeCell ref="A966:D966"/>
    <mergeCell ref="E966:K966"/>
    <mergeCell ref="L966:L967"/>
    <mergeCell ref="M966:M967"/>
    <mergeCell ref="N966:O966"/>
    <mergeCell ref="P966:P967"/>
    <mergeCell ref="K949:K950"/>
    <mergeCell ref="L949:L950"/>
    <mergeCell ref="A952:A954"/>
    <mergeCell ref="B952:B954"/>
    <mergeCell ref="M952:M954"/>
    <mergeCell ref="P952:P954"/>
    <mergeCell ref="E949:E950"/>
    <mergeCell ref="F949:F950"/>
    <mergeCell ref="G949:G950"/>
    <mergeCell ref="H949:H950"/>
    <mergeCell ref="I949:I950"/>
    <mergeCell ref="J949:J950"/>
    <mergeCell ref="A946:A947"/>
    <mergeCell ref="B946:B947"/>
    <mergeCell ref="M946:M947"/>
    <mergeCell ref="P946:P947"/>
    <mergeCell ref="A948:A951"/>
    <mergeCell ref="B948:B951"/>
    <mergeCell ref="M948:M951"/>
    <mergeCell ref="P948:P951"/>
    <mergeCell ref="C949:C950"/>
    <mergeCell ref="D949:D950"/>
    <mergeCell ref="A941:P941"/>
    <mergeCell ref="A942:A943"/>
    <mergeCell ref="B942:B943"/>
    <mergeCell ref="M942:M943"/>
    <mergeCell ref="P942:P943"/>
    <mergeCell ref="A944:A945"/>
    <mergeCell ref="B944:B945"/>
    <mergeCell ref="M944:M945"/>
    <mergeCell ref="P944:P945"/>
    <mergeCell ref="A928:P928"/>
    <mergeCell ref="A930:M930"/>
    <mergeCell ref="A933:D933"/>
    <mergeCell ref="L933:M933"/>
    <mergeCell ref="A939:D939"/>
    <mergeCell ref="E939:K939"/>
    <mergeCell ref="L939:L940"/>
    <mergeCell ref="M939:M940"/>
    <mergeCell ref="N939:O939"/>
    <mergeCell ref="P939:P940"/>
    <mergeCell ref="A923:A925"/>
    <mergeCell ref="B923:B925"/>
    <mergeCell ref="M923:M925"/>
    <mergeCell ref="P923:P925"/>
    <mergeCell ref="A926:A927"/>
    <mergeCell ref="B926:B927"/>
    <mergeCell ref="M926:M927"/>
    <mergeCell ref="P926:P927"/>
    <mergeCell ref="A919:A920"/>
    <mergeCell ref="B919:B920"/>
    <mergeCell ref="M919:M920"/>
    <mergeCell ref="P919:P920"/>
    <mergeCell ref="A921:A922"/>
    <mergeCell ref="B921:B922"/>
    <mergeCell ref="M921:M922"/>
    <mergeCell ref="P921:P922"/>
    <mergeCell ref="N914:O914"/>
    <mergeCell ref="P914:P915"/>
    <mergeCell ref="A916:P916"/>
    <mergeCell ref="A917:A918"/>
    <mergeCell ref="B917:B918"/>
    <mergeCell ref="M917:M918"/>
    <mergeCell ref="P917:P918"/>
    <mergeCell ref="A908:D908"/>
    <mergeCell ref="L908:M908"/>
    <mergeCell ref="A914:D914"/>
    <mergeCell ref="E914:K914"/>
    <mergeCell ref="L914:L915"/>
    <mergeCell ref="M914:M915"/>
    <mergeCell ref="A902:P902"/>
    <mergeCell ref="A904:P904"/>
    <mergeCell ref="A905:A907"/>
    <mergeCell ref="B905:B907"/>
    <mergeCell ref="M905:M907"/>
    <mergeCell ref="P905:P907"/>
    <mergeCell ref="A896:A898"/>
    <mergeCell ref="B896:B898"/>
    <mergeCell ref="M896:M898"/>
    <mergeCell ref="P896:P898"/>
    <mergeCell ref="A899:A901"/>
    <mergeCell ref="B899:B901"/>
    <mergeCell ref="M899:M901"/>
    <mergeCell ref="P899:P901"/>
    <mergeCell ref="A891:A892"/>
    <mergeCell ref="B891:B892"/>
    <mergeCell ref="M891:M892"/>
    <mergeCell ref="P891:P892"/>
    <mergeCell ref="A893:A895"/>
    <mergeCell ref="B893:B895"/>
    <mergeCell ref="M893:M895"/>
    <mergeCell ref="P893:P895"/>
    <mergeCell ref="N885:O885"/>
    <mergeCell ref="P885:P886"/>
    <mergeCell ref="A887:P887"/>
    <mergeCell ref="A888:A890"/>
    <mergeCell ref="B888:B890"/>
    <mergeCell ref="M888:M890"/>
    <mergeCell ref="P888:P890"/>
    <mergeCell ref="A881:D881"/>
    <mergeCell ref="L881:M881"/>
    <mergeCell ref="A885:D885"/>
    <mergeCell ref="E885:K885"/>
    <mergeCell ref="L885:L886"/>
    <mergeCell ref="M885:M886"/>
    <mergeCell ref="A876:M876"/>
    <mergeCell ref="A877:A878"/>
    <mergeCell ref="B877:B878"/>
    <mergeCell ref="M877:M878"/>
    <mergeCell ref="P877:P878"/>
    <mergeCell ref="A879:A880"/>
    <mergeCell ref="B879:B880"/>
    <mergeCell ref="M879:M880"/>
    <mergeCell ref="P879:P880"/>
    <mergeCell ref="A871:A872"/>
    <mergeCell ref="B871:B872"/>
    <mergeCell ref="M871:M872"/>
    <mergeCell ref="P871:P872"/>
    <mergeCell ref="A873:A875"/>
    <mergeCell ref="B873:B875"/>
    <mergeCell ref="M873:M875"/>
    <mergeCell ref="P873:P875"/>
    <mergeCell ref="A866:A867"/>
    <mergeCell ref="B866:B867"/>
    <mergeCell ref="M866:M867"/>
    <mergeCell ref="P866:P867"/>
    <mergeCell ref="A869:A870"/>
    <mergeCell ref="B869:B870"/>
    <mergeCell ref="M869:M870"/>
    <mergeCell ref="P869:P870"/>
    <mergeCell ref="A861:M861"/>
    <mergeCell ref="A862:A864"/>
    <mergeCell ref="B862:B864"/>
    <mergeCell ref="M862:M864"/>
    <mergeCell ref="P862:P864"/>
    <mergeCell ref="A865:M865"/>
    <mergeCell ref="P823:P824"/>
    <mergeCell ref="A825:P825"/>
    <mergeCell ref="A827:D827"/>
    <mergeCell ref="A859:D859"/>
    <mergeCell ref="E859:K859"/>
    <mergeCell ref="L859:L860"/>
    <mergeCell ref="M859:M860"/>
    <mergeCell ref="N859:O859"/>
    <mergeCell ref="P859:P860"/>
    <mergeCell ref="A815:D815"/>
    <mergeCell ref="B823:D823"/>
    <mergeCell ref="E823:K823"/>
    <mergeCell ref="L823:L824"/>
    <mergeCell ref="M823:M824"/>
    <mergeCell ref="N823:O823"/>
    <mergeCell ref="A810:P810"/>
    <mergeCell ref="A811:A812"/>
    <mergeCell ref="B811:B812"/>
    <mergeCell ref="M811:M812"/>
    <mergeCell ref="P811:P812"/>
    <mergeCell ref="A813:P813"/>
    <mergeCell ref="A803:A805"/>
    <mergeCell ref="B803:B805"/>
    <mergeCell ref="M803:M805"/>
    <mergeCell ref="P803:P805"/>
    <mergeCell ref="A807:A809"/>
    <mergeCell ref="B807:B809"/>
    <mergeCell ref="M807:M809"/>
    <mergeCell ref="P807:P809"/>
    <mergeCell ref="A797:P797"/>
    <mergeCell ref="A798:A800"/>
    <mergeCell ref="B798:B800"/>
    <mergeCell ref="M798:M800"/>
    <mergeCell ref="P798:P800"/>
    <mergeCell ref="A801:A802"/>
    <mergeCell ref="B801:B802"/>
    <mergeCell ref="M801:M802"/>
    <mergeCell ref="P801:P802"/>
    <mergeCell ref="A795:D795"/>
    <mergeCell ref="E795:K795"/>
    <mergeCell ref="L795:L796"/>
    <mergeCell ref="M795:M796"/>
    <mergeCell ref="N795:O795"/>
    <mergeCell ref="P795:P796"/>
    <mergeCell ref="A784:P784"/>
    <mergeCell ref="A786:A787"/>
    <mergeCell ref="B786:B787"/>
    <mergeCell ref="M786:M787"/>
    <mergeCell ref="P786:P787"/>
    <mergeCell ref="A788:D788"/>
    <mergeCell ref="A776:A778"/>
    <mergeCell ref="B776:B778"/>
    <mergeCell ref="M776:M778"/>
    <mergeCell ref="P776:P778"/>
    <mergeCell ref="A779:A780"/>
    <mergeCell ref="B779:B780"/>
    <mergeCell ref="M779:M780"/>
    <mergeCell ref="P779:P780"/>
    <mergeCell ref="A772:P772"/>
    <mergeCell ref="A773:A774"/>
    <mergeCell ref="B773:B774"/>
    <mergeCell ref="M773:M774"/>
    <mergeCell ref="P773:P774"/>
    <mergeCell ref="A775:P775"/>
    <mergeCell ref="P737:P738"/>
    <mergeCell ref="A739:P739"/>
    <mergeCell ref="A741:D741"/>
    <mergeCell ref="A770:D770"/>
    <mergeCell ref="E770:K770"/>
    <mergeCell ref="L770:L771"/>
    <mergeCell ref="M770:M771"/>
    <mergeCell ref="N770:O770"/>
    <mergeCell ref="P770:P771"/>
    <mergeCell ref="A731:D731"/>
    <mergeCell ref="B737:D737"/>
    <mergeCell ref="E737:K737"/>
    <mergeCell ref="L737:L738"/>
    <mergeCell ref="M737:M738"/>
    <mergeCell ref="N737:O737"/>
    <mergeCell ref="A726:P726"/>
    <mergeCell ref="A727:A728"/>
    <mergeCell ref="B727:B728"/>
    <mergeCell ref="M727:M728"/>
    <mergeCell ref="P727:P728"/>
    <mergeCell ref="A729:P729"/>
    <mergeCell ref="A719:A721"/>
    <mergeCell ref="B719:B721"/>
    <mergeCell ref="M719:M721"/>
    <mergeCell ref="P719:P721"/>
    <mergeCell ref="A723:A725"/>
    <mergeCell ref="B723:B725"/>
    <mergeCell ref="M723:M725"/>
    <mergeCell ref="P723:P725"/>
    <mergeCell ref="A712:P712"/>
    <mergeCell ref="A713:A715"/>
    <mergeCell ref="B713:B715"/>
    <mergeCell ref="M713:M715"/>
    <mergeCell ref="P713:P715"/>
    <mergeCell ref="A717:A718"/>
    <mergeCell ref="B717:B718"/>
    <mergeCell ref="M717:M718"/>
    <mergeCell ref="P717:P718"/>
    <mergeCell ref="A710:D710"/>
    <mergeCell ref="E710:K710"/>
    <mergeCell ref="L710:L711"/>
    <mergeCell ref="M710:M711"/>
    <mergeCell ref="N710:O710"/>
    <mergeCell ref="P710:P711"/>
    <mergeCell ref="A696:P696"/>
    <mergeCell ref="A699:A700"/>
    <mergeCell ref="B699:B700"/>
    <mergeCell ref="M699:M700"/>
    <mergeCell ref="P699:P700"/>
    <mergeCell ref="A701:D701"/>
    <mergeCell ref="A690:A692"/>
    <mergeCell ref="B690:B692"/>
    <mergeCell ref="M690:M692"/>
    <mergeCell ref="P690:P692"/>
    <mergeCell ref="A693:A694"/>
    <mergeCell ref="B693:B694"/>
    <mergeCell ref="M693:M694"/>
    <mergeCell ref="P693:P694"/>
    <mergeCell ref="A685:P685"/>
    <mergeCell ref="A686:A687"/>
    <mergeCell ref="B686:B687"/>
    <mergeCell ref="M686:M687"/>
    <mergeCell ref="P686:P687"/>
    <mergeCell ref="A689:P689"/>
    <mergeCell ref="A675:P675"/>
    <mergeCell ref="A677:D677"/>
    <mergeCell ref="L677:M677"/>
    <mergeCell ref="A683:D683"/>
    <mergeCell ref="E683:K683"/>
    <mergeCell ref="L683:L684"/>
    <mergeCell ref="M683:M684"/>
    <mergeCell ref="N683:O683"/>
    <mergeCell ref="P683:P684"/>
    <mergeCell ref="A670:P670"/>
    <mergeCell ref="A671:A672"/>
    <mergeCell ref="B671:B672"/>
    <mergeCell ref="M671:M672"/>
    <mergeCell ref="P671:P672"/>
    <mergeCell ref="A673:A674"/>
    <mergeCell ref="B673:B674"/>
    <mergeCell ref="M673:M674"/>
    <mergeCell ref="P673:P674"/>
    <mergeCell ref="B666:B667"/>
    <mergeCell ref="M666:M667"/>
    <mergeCell ref="A668:A669"/>
    <mergeCell ref="B668:B669"/>
    <mergeCell ref="M668:M669"/>
    <mergeCell ref="P668:P669"/>
    <mergeCell ref="A661:A663"/>
    <mergeCell ref="B661:B663"/>
    <mergeCell ref="M661:M663"/>
    <mergeCell ref="P661:P663"/>
    <mergeCell ref="A664:A665"/>
    <mergeCell ref="B664:B665"/>
    <mergeCell ref="M664:M665"/>
    <mergeCell ref="P664:P665"/>
    <mergeCell ref="A657:P657"/>
    <mergeCell ref="A658:A659"/>
    <mergeCell ref="B658:B659"/>
    <mergeCell ref="M658:M659"/>
    <mergeCell ref="P658:P659"/>
    <mergeCell ref="A660:P660"/>
    <mergeCell ref="A619:P619"/>
    <mergeCell ref="A620:P620"/>
    <mergeCell ref="A622:D622"/>
    <mergeCell ref="A655:D655"/>
    <mergeCell ref="E655:K655"/>
    <mergeCell ref="L655:L656"/>
    <mergeCell ref="M655:M656"/>
    <mergeCell ref="N655:O655"/>
    <mergeCell ref="P655:P656"/>
    <mergeCell ref="A605:P605"/>
    <mergeCell ref="A607:D607"/>
    <mergeCell ref="B617:D617"/>
    <mergeCell ref="E617:K617"/>
    <mergeCell ref="L617:L618"/>
    <mergeCell ref="M617:M618"/>
    <mergeCell ref="N617:O617"/>
    <mergeCell ref="P617:P618"/>
    <mergeCell ref="A599:A600"/>
    <mergeCell ref="B599:B600"/>
    <mergeCell ref="M599:M600"/>
    <mergeCell ref="P599:P600"/>
    <mergeCell ref="A602:P602"/>
    <mergeCell ref="A603:A604"/>
    <mergeCell ref="B603:B604"/>
    <mergeCell ref="M603:M604"/>
    <mergeCell ref="P603:P604"/>
    <mergeCell ref="A594:A596"/>
    <mergeCell ref="B594:B596"/>
    <mergeCell ref="M594:M596"/>
    <mergeCell ref="P594:P596"/>
    <mergeCell ref="A597:A598"/>
    <mergeCell ref="B597:B598"/>
    <mergeCell ref="M597:M598"/>
    <mergeCell ref="P597:P598"/>
    <mergeCell ref="P588:P589"/>
    <mergeCell ref="A590:P590"/>
    <mergeCell ref="A591:A593"/>
    <mergeCell ref="B591:B593"/>
    <mergeCell ref="M591:M593"/>
    <mergeCell ref="P591:P593"/>
    <mergeCell ref="A579:D579"/>
    <mergeCell ref="B588:D588"/>
    <mergeCell ref="E588:K588"/>
    <mergeCell ref="L588:L589"/>
    <mergeCell ref="M588:M589"/>
    <mergeCell ref="N588:O588"/>
    <mergeCell ref="A571:A572"/>
    <mergeCell ref="B571:B572"/>
    <mergeCell ref="M571:M572"/>
    <mergeCell ref="P571:P572"/>
    <mergeCell ref="A573:P573"/>
    <mergeCell ref="A574:A576"/>
    <mergeCell ref="B574:B576"/>
    <mergeCell ref="M574:M576"/>
    <mergeCell ref="P574:P576"/>
    <mergeCell ref="A565:P565"/>
    <mergeCell ref="A566:A568"/>
    <mergeCell ref="B566:B568"/>
    <mergeCell ref="M566:M568"/>
    <mergeCell ref="P566:P568"/>
    <mergeCell ref="A569:A570"/>
    <mergeCell ref="B569:B570"/>
    <mergeCell ref="M569:M570"/>
    <mergeCell ref="P569:P570"/>
    <mergeCell ref="A559:P559"/>
    <mergeCell ref="A561:D561"/>
    <mergeCell ref="B563:D563"/>
    <mergeCell ref="E563:K563"/>
    <mergeCell ref="L563:L564"/>
    <mergeCell ref="M563:M564"/>
    <mergeCell ref="N563:O563"/>
    <mergeCell ref="P563:P564"/>
    <mergeCell ref="A554:A555"/>
    <mergeCell ref="B554:B555"/>
    <mergeCell ref="M554:M555"/>
    <mergeCell ref="P554:P555"/>
    <mergeCell ref="A557:A558"/>
    <mergeCell ref="B557:B558"/>
    <mergeCell ref="M557:M558"/>
    <mergeCell ref="P557:P558"/>
    <mergeCell ref="A548:A550"/>
    <mergeCell ref="B548:B550"/>
    <mergeCell ref="M548:M550"/>
    <mergeCell ref="P548:P550"/>
    <mergeCell ref="A551:P551"/>
    <mergeCell ref="A552:A553"/>
    <mergeCell ref="B552:B553"/>
    <mergeCell ref="M552:M553"/>
    <mergeCell ref="P552:P553"/>
    <mergeCell ref="A543:P543"/>
    <mergeCell ref="A544:A545"/>
    <mergeCell ref="B544:B545"/>
    <mergeCell ref="M544:M545"/>
    <mergeCell ref="P544:P545"/>
    <mergeCell ref="A546:A547"/>
    <mergeCell ref="B546:B547"/>
    <mergeCell ref="M546:M547"/>
    <mergeCell ref="P546:P547"/>
    <mergeCell ref="A507:P507"/>
    <mergeCell ref="A509:D509"/>
    <mergeCell ref="A541:D541"/>
    <mergeCell ref="E541:K541"/>
    <mergeCell ref="L541:L542"/>
    <mergeCell ref="M541:M542"/>
    <mergeCell ref="N541:O541"/>
    <mergeCell ref="P541:P542"/>
    <mergeCell ref="B505:D505"/>
    <mergeCell ref="E505:K505"/>
    <mergeCell ref="L505:L506"/>
    <mergeCell ref="M505:M506"/>
    <mergeCell ref="N505:O505"/>
    <mergeCell ref="P505:P506"/>
    <mergeCell ref="A495:A497"/>
    <mergeCell ref="B495:B497"/>
    <mergeCell ref="M495:M497"/>
    <mergeCell ref="P495:P497"/>
    <mergeCell ref="A498:P498"/>
    <mergeCell ref="A500:D500"/>
    <mergeCell ref="A491:A492"/>
    <mergeCell ref="B491:B492"/>
    <mergeCell ref="M491:M492"/>
    <mergeCell ref="P491:P492"/>
    <mergeCell ref="A493:A494"/>
    <mergeCell ref="B493:B494"/>
    <mergeCell ref="M493:M494"/>
    <mergeCell ref="P493:P494"/>
    <mergeCell ref="A485:A487"/>
    <mergeCell ref="B485:B487"/>
    <mergeCell ref="M485:M487"/>
    <mergeCell ref="P485:P487"/>
    <mergeCell ref="A488:A490"/>
    <mergeCell ref="B488:B490"/>
    <mergeCell ref="M488:M490"/>
    <mergeCell ref="P488:P490"/>
    <mergeCell ref="P480:P481"/>
    <mergeCell ref="A482:P482"/>
    <mergeCell ref="A483:A484"/>
    <mergeCell ref="B483:B484"/>
    <mergeCell ref="M483:M484"/>
    <mergeCell ref="P483:P484"/>
    <mergeCell ref="A477:D477"/>
    <mergeCell ref="B480:D480"/>
    <mergeCell ref="E480:K480"/>
    <mergeCell ref="L480:L481"/>
    <mergeCell ref="M480:M481"/>
    <mergeCell ref="N480:O480"/>
    <mergeCell ref="A471:A472"/>
    <mergeCell ref="B471:B472"/>
    <mergeCell ref="M471:M472"/>
    <mergeCell ref="P471:P472"/>
    <mergeCell ref="A474:P474"/>
    <mergeCell ref="A475:A476"/>
    <mergeCell ref="B475:B476"/>
    <mergeCell ref="M475:M476"/>
    <mergeCell ref="P475:P476"/>
    <mergeCell ref="A466:P466"/>
    <mergeCell ref="A467:A468"/>
    <mergeCell ref="B467:B468"/>
    <mergeCell ref="M467:M468"/>
    <mergeCell ref="P467:P468"/>
    <mergeCell ref="A469:A470"/>
    <mergeCell ref="B469:B470"/>
    <mergeCell ref="M469:M470"/>
    <mergeCell ref="P469:P470"/>
    <mergeCell ref="P461:P462"/>
    <mergeCell ref="A463:P463"/>
    <mergeCell ref="A464:A465"/>
    <mergeCell ref="B464:B465"/>
    <mergeCell ref="M464:M465"/>
    <mergeCell ref="P464:P465"/>
    <mergeCell ref="A456:D456"/>
    <mergeCell ref="B461:D461"/>
    <mergeCell ref="E461:K461"/>
    <mergeCell ref="L461:L462"/>
    <mergeCell ref="M461:M462"/>
    <mergeCell ref="N461:O461"/>
    <mergeCell ref="A450:A451"/>
    <mergeCell ref="B450:B451"/>
    <mergeCell ref="M450:M451"/>
    <mergeCell ref="P450:P451"/>
    <mergeCell ref="A452:P452"/>
    <mergeCell ref="A454:A455"/>
    <mergeCell ref="B454:B455"/>
    <mergeCell ref="P454:P455"/>
    <mergeCell ref="A444:P444"/>
    <mergeCell ref="A445:A447"/>
    <mergeCell ref="B445:B447"/>
    <mergeCell ref="M445:M447"/>
    <mergeCell ref="P445:P447"/>
    <mergeCell ref="A448:P448"/>
    <mergeCell ref="A439:A440"/>
    <mergeCell ref="B439:B440"/>
    <mergeCell ref="M439:M440"/>
    <mergeCell ref="P439:P440"/>
    <mergeCell ref="A441:A443"/>
    <mergeCell ref="B441:B443"/>
    <mergeCell ref="M441:M443"/>
    <mergeCell ref="P441:P443"/>
    <mergeCell ref="A432:P432"/>
    <mergeCell ref="A433:A435"/>
    <mergeCell ref="B433:B435"/>
    <mergeCell ref="M433:M435"/>
    <mergeCell ref="P433:P435"/>
    <mergeCell ref="A436:A438"/>
    <mergeCell ref="B436:B438"/>
    <mergeCell ref="M436:M438"/>
    <mergeCell ref="P436:P438"/>
    <mergeCell ref="A430:D430"/>
    <mergeCell ref="E430:K430"/>
    <mergeCell ref="L430:L431"/>
    <mergeCell ref="M430:M431"/>
    <mergeCell ref="N430:O430"/>
    <mergeCell ref="P430:P431"/>
    <mergeCell ref="A383:P383"/>
    <mergeCell ref="A385:P385"/>
    <mergeCell ref="A387:D387"/>
    <mergeCell ref="B393:D393"/>
    <mergeCell ref="E393:K393"/>
    <mergeCell ref="L393:L394"/>
    <mergeCell ref="M393:M394"/>
    <mergeCell ref="N393:O393"/>
    <mergeCell ref="P393:P394"/>
    <mergeCell ref="A378:A380"/>
    <mergeCell ref="B378:B380"/>
    <mergeCell ref="M378:M380"/>
    <mergeCell ref="P378:P380"/>
    <mergeCell ref="A381:A382"/>
    <mergeCell ref="B381:B382"/>
    <mergeCell ref="M381:M382"/>
    <mergeCell ref="P381:P382"/>
    <mergeCell ref="A371:P371"/>
    <mergeCell ref="A372:A374"/>
    <mergeCell ref="B372:B374"/>
    <mergeCell ref="M372:M374"/>
    <mergeCell ref="P372:P374"/>
    <mergeCell ref="A375:A377"/>
    <mergeCell ref="B375:B377"/>
    <mergeCell ref="M375:M377"/>
    <mergeCell ref="P375:P377"/>
    <mergeCell ref="A364:P364"/>
    <mergeCell ref="A365:A367"/>
    <mergeCell ref="B365:B367"/>
    <mergeCell ref="M365:M367"/>
    <mergeCell ref="P365:P367"/>
    <mergeCell ref="A368:A370"/>
    <mergeCell ref="B368:B370"/>
    <mergeCell ref="M368:M370"/>
    <mergeCell ref="P368:P370"/>
    <mergeCell ref="A350:P350"/>
    <mergeCell ref="A353:D353"/>
    <mergeCell ref="L353:M353"/>
    <mergeCell ref="B362:D362"/>
    <mergeCell ref="E362:K362"/>
    <mergeCell ref="L362:L363"/>
    <mergeCell ref="M362:M363"/>
    <mergeCell ref="N362:O362"/>
    <mergeCell ref="P362:P363"/>
    <mergeCell ref="A343:P343"/>
    <mergeCell ref="A344:A346"/>
    <mergeCell ref="B344:B346"/>
    <mergeCell ref="M344:M346"/>
    <mergeCell ref="P344:P346"/>
    <mergeCell ref="A347:A349"/>
    <mergeCell ref="B347:B349"/>
    <mergeCell ref="M347:M349"/>
    <mergeCell ref="P347:P349"/>
    <mergeCell ref="A335:P335"/>
    <mergeCell ref="A337:A339"/>
    <mergeCell ref="B337:B339"/>
    <mergeCell ref="M337:M339"/>
    <mergeCell ref="P337:P339"/>
    <mergeCell ref="A340:A342"/>
    <mergeCell ref="B340:B342"/>
    <mergeCell ref="M340:M342"/>
    <mergeCell ref="P340:P342"/>
    <mergeCell ref="B333:D333"/>
    <mergeCell ref="E333:K333"/>
    <mergeCell ref="L333:L334"/>
    <mergeCell ref="M333:M334"/>
    <mergeCell ref="N333:O333"/>
    <mergeCell ref="P333:P334"/>
    <mergeCell ref="A325:P325"/>
    <mergeCell ref="A326:A327"/>
    <mergeCell ref="B326:B327"/>
    <mergeCell ref="M326:M327"/>
    <mergeCell ref="A329:D329"/>
    <mergeCell ref="L329:M329"/>
    <mergeCell ref="A320:P320"/>
    <mergeCell ref="A321:A322"/>
    <mergeCell ref="B321:B322"/>
    <mergeCell ref="M321:M322"/>
    <mergeCell ref="P321:P322"/>
    <mergeCell ref="A323:A324"/>
    <mergeCell ref="B323:B324"/>
    <mergeCell ref="M323:M324"/>
    <mergeCell ref="P323:P324"/>
    <mergeCell ref="A314:P314"/>
    <mergeCell ref="A315:A317"/>
    <mergeCell ref="B315:B317"/>
    <mergeCell ref="M315:M317"/>
    <mergeCell ref="P315:P317"/>
    <mergeCell ref="A318:A319"/>
    <mergeCell ref="B318:B319"/>
    <mergeCell ref="M318:M319"/>
    <mergeCell ref="P318:P319"/>
    <mergeCell ref="A307:P307"/>
    <mergeCell ref="A308:A310"/>
    <mergeCell ref="B308:B310"/>
    <mergeCell ref="M308:M310"/>
    <mergeCell ref="P308:P310"/>
    <mergeCell ref="A311:A313"/>
    <mergeCell ref="B311:B313"/>
    <mergeCell ref="M311:M313"/>
    <mergeCell ref="P311:P313"/>
    <mergeCell ref="A305:D305"/>
    <mergeCell ref="E305:K305"/>
    <mergeCell ref="L305:L306"/>
    <mergeCell ref="M305:M306"/>
    <mergeCell ref="N305:O305"/>
    <mergeCell ref="P305:P306"/>
    <mergeCell ref="A288:P288"/>
    <mergeCell ref="A289:A291"/>
    <mergeCell ref="B289:B291"/>
    <mergeCell ref="M289:M291"/>
    <mergeCell ref="P289:P291"/>
    <mergeCell ref="A292:D292"/>
    <mergeCell ref="L292:M292"/>
    <mergeCell ref="A283:A284"/>
    <mergeCell ref="B283:B284"/>
    <mergeCell ref="M283:M284"/>
    <mergeCell ref="P283:P284"/>
    <mergeCell ref="A285:P285"/>
    <mergeCell ref="A286:A287"/>
    <mergeCell ref="B286:B287"/>
    <mergeCell ref="M286:M287"/>
    <mergeCell ref="P286:P287"/>
    <mergeCell ref="A277:A279"/>
    <mergeCell ref="B277:B279"/>
    <mergeCell ref="M277:M279"/>
    <mergeCell ref="P277:P279"/>
    <mergeCell ref="A280:A282"/>
    <mergeCell ref="B280:B282"/>
    <mergeCell ref="M280:M282"/>
    <mergeCell ref="P280:P282"/>
    <mergeCell ref="A271:P271"/>
    <mergeCell ref="A272:A274"/>
    <mergeCell ref="B272:B274"/>
    <mergeCell ref="M272:M274"/>
    <mergeCell ref="P272:P273"/>
    <mergeCell ref="A275:A276"/>
    <mergeCell ref="B275:B276"/>
    <mergeCell ref="M275:M276"/>
    <mergeCell ref="P275:P276"/>
    <mergeCell ref="A263:P263"/>
    <mergeCell ref="A266:D266"/>
    <mergeCell ref="L266:M266"/>
    <mergeCell ref="B269:D269"/>
    <mergeCell ref="E269:K269"/>
    <mergeCell ref="L269:L270"/>
    <mergeCell ref="M269:M270"/>
    <mergeCell ref="N269:O269"/>
    <mergeCell ref="P269:P270"/>
    <mergeCell ref="A256:A257"/>
    <mergeCell ref="B256:B257"/>
    <mergeCell ref="M256:M257"/>
    <mergeCell ref="P256:P257"/>
    <mergeCell ref="A258:A259"/>
    <mergeCell ref="B258:B259"/>
    <mergeCell ref="M258:M259"/>
    <mergeCell ref="P258:P259"/>
    <mergeCell ref="A252:P252"/>
    <mergeCell ref="A253:A254"/>
    <mergeCell ref="B253:B254"/>
    <mergeCell ref="M253:M254"/>
    <mergeCell ref="P253:P254"/>
    <mergeCell ref="A255:P255"/>
    <mergeCell ref="A248:A249"/>
    <mergeCell ref="B248:B249"/>
    <mergeCell ref="M248:M249"/>
    <mergeCell ref="P248:P249"/>
    <mergeCell ref="A250:A251"/>
    <mergeCell ref="B250:B251"/>
    <mergeCell ref="M250:M251"/>
    <mergeCell ref="P250:P251"/>
    <mergeCell ref="N243:O243"/>
    <mergeCell ref="P243:P244"/>
    <mergeCell ref="A245:P245"/>
    <mergeCell ref="A246:A247"/>
    <mergeCell ref="B246:B247"/>
    <mergeCell ref="M246:M247"/>
    <mergeCell ref="P246:P247"/>
    <mergeCell ref="A228:A230"/>
    <mergeCell ref="B228:B230"/>
    <mergeCell ref="M228:M230"/>
    <mergeCell ref="A232:D232"/>
    <mergeCell ref="B243:D243"/>
    <mergeCell ref="E243:K243"/>
    <mergeCell ref="L243:L244"/>
    <mergeCell ref="M243:M244"/>
    <mergeCell ref="A223:A224"/>
    <mergeCell ref="B223:B224"/>
    <mergeCell ref="M223:M224"/>
    <mergeCell ref="A225:P225"/>
    <mergeCell ref="A226:A227"/>
    <mergeCell ref="B226:B227"/>
    <mergeCell ref="M226:M227"/>
    <mergeCell ref="A218:A219"/>
    <mergeCell ref="B218:B219"/>
    <mergeCell ref="M218:M219"/>
    <mergeCell ref="A220:A222"/>
    <mergeCell ref="B220:B222"/>
    <mergeCell ref="M220:M222"/>
    <mergeCell ref="A212:P212"/>
    <mergeCell ref="A213:A215"/>
    <mergeCell ref="B213:B215"/>
    <mergeCell ref="M213:M215"/>
    <mergeCell ref="A216:A217"/>
    <mergeCell ref="B216:B217"/>
    <mergeCell ref="M216:M217"/>
    <mergeCell ref="B210:D210"/>
    <mergeCell ref="E210:K210"/>
    <mergeCell ref="L210:L211"/>
    <mergeCell ref="M210:M211"/>
    <mergeCell ref="N210:O210"/>
    <mergeCell ref="P210:P211"/>
    <mergeCell ref="A203:A204"/>
    <mergeCell ref="B203:B204"/>
    <mergeCell ref="M203:M204"/>
    <mergeCell ref="P203:P204"/>
    <mergeCell ref="A206:P206"/>
    <mergeCell ref="A208:D208"/>
    <mergeCell ref="L208:M208"/>
    <mergeCell ref="A198:P198"/>
    <mergeCell ref="A199:A200"/>
    <mergeCell ref="B199:B200"/>
    <mergeCell ref="M199:M200"/>
    <mergeCell ref="P199:P200"/>
    <mergeCell ref="A201:A202"/>
    <mergeCell ref="B201:B202"/>
    <mergeCell ref="M201:M202"/>
    <mergeCell ref="A193:P193"/>
    <mergeCell ref="A194:A195"/>
    <mergeCell ref="B194:B195"/>
    <mergeCell ref="M194:M195"/>
    <mergeCell ref="A196:A197"/>
    <mergeCell ref="B196:B197"/>
    <mergeCell ref="M196:M197"/>
    <mergeCell ref="A187:P187"/>
    <mergeCell ref="A188:A189"/>
    <mergeCell ref="B188:B189"/>
    <mergeCell ref="M188:M189"/>
    <mergeCell ref="A190:A192"/>
    <mergeCell ref="B190:B192"/>
    <mergeCell ref="M190:M192"/>
    <mergeCell ref="B185:D185"/>
    <mergeCell ref="E185:K185"/>
    <mergeCell ref="L185:L186"/>
    <mergeCell ref="M185:M186"/>
    <mergeCell ref="N185:O185"/>
    <mergeCell ref="P185:P186"/>
    <mergeCell ref="A172:A173"/>
    <mergeCell ref="B172:B173"/>
    <mergeCell ref="M172:M173"/>
    <mergeCell ref="P172:P173"/>
    <mergeCell ref="A174:P174"/>
    <mergeCell ref="A176:D176"/>
    <mergeCell ref="A167:P167"/>
    <mergeCell ref="A168:A169"/>
    <mergeCell ref="B168:B169"/>
    <mergeCell ref="M168:M169"/>
    <mergeCell ref="P168:P169"/>
    <mergeCell ref="A170:A171"/>
    <mergeCell ref="B170:B171"/>
    <mergeCell ref="M170:M171"/>
    <mergeCell ref="P170:P171"/>
    <mergeCell ref="A161:A163"/>
    <mergeCell ref="B161:B163"/>
    <mergeCell ref="M161:M163"/>
    <mergeCell ref="A164:A166"/>
    <mergeCell ref="B164:B166"/>
    <mergeCell ref="M164:M166"/>
    <mergeCell ref="P152:P153"/>
    <mergeCell ref="A154:P154"/>
    <mergeCell ref="A155:A157"/>
    <mergeCell ref="B155:B157"/>
    <mergeCell ref="M155:M157"/>
    <mergeCell ref="A158:A160"/>
    <mergeCell ref="B158:B160"/>
    <mergeCell ref="M158:M160"/>
    <mergeCell ref="A146:A147"/>
    <mergeCell ref="B146:B147"/>
    <mergeCell ref="M146:M147"/>
    <mergeCell ref="P146:P147"/>
    <mergeCell ref="A150:D150"/>
    <mergeCell ref="A152:D152"/>
    <mergeCell ref="E152:K152"/>
    <mergeCell ref="L152:L153"/>
    <mergeCell ref="M152:M153"/>
    <mergeCell ref="N152:O152"/>
    <mergeCell ref="A139:A141"/>
    <mergeCell ref="M139:M141"/>
    <mergeCell ref="A142:A144"/>
    <mergeCell ref="B142:B144"/>
    <mergeCell ref="M142:M144"/>
    <mergeCell ref="A145:P145"/>
    <mergeCell ref="A133:A135"/>
    <mergeCell ref="M133:M135"/>
    <mergeCell ref="A136:A138"/>
    <mergeCell ref="M136:M138"/>
    <mergeCell ref="N128:O128"/>
    <mergeCell ref="P128:P129"/>
    <mergeCell ref="A130:P130"/>
    <mergeCell ref="A131:A132"/>
    <mergeCell ref="M131:M132"/>
    <mergeCell ref="A113:D113"/>
    <mergeCell ref="L113:M113"/>
    <mergeCell ref="B128:D128"/>
    <mergeCell ref="E128:K128"/>
    <mergeCell ref="L128:L129"/>
    <mergeCell ref="M128:M129"/>
    <mergeCell ref="A107:P107"/>
    <mergeCell ref="A109:P109"/>
    <mergeCell ref="A110:A112"/>
    <mergeCell ref="B110:B112"/>
    <mergeCell ref="M110:M112"/>
    <mergeCell ref="P110:P112"/>
    <mergeCell ref="A103:A104"/>
    <mergeCell ref="B103:B104"/>
    <mergeCell ref="M103:M104"/>
    <mergeCell ref="P103:P104"/>
    <mergeCell ref="A105:A106"/>
    <mergeCell ref="B105:B106"/>
    <mergeCell ref="M105:M106"/>
    <mergeCell ref="P105:P106"/>
    <mergeCell ref="A99:A100"/>
    <mergeCell ref="B99:B100"/>
    <mergeCell ref="M99:M100"/>
    <mergeCell ref="P99:P100"/>
    <mergeCell ref="A101:A102"/>
    <mergeCell ref="B101:B102"/>
    <mergeCell ref="M101:M102"/>
    <mergeCell ref="P101:P102"/>
    <mergeCell ref="A94:P94"/>
    <mergeCell ref="A95:A96"/>
    <mergeCell ref="B95:B96"/>
    <mergeCell ref="M95:M96"/>
    <mergeCell ref="P95:P96"/>
    <mergeCell ref="A97:A98"/>
    <mergeCell ref="B97:B98"/>
    <mergeCell ref="M97:M98"/>
    <mergeCell ref="P97:P98"/>
    <mergeCell ref="A92:D92"/>
    <mergeCell ref="E92:K92"/>
    <mergeCell ref="L92:L93"/>
    <mergeCell ref="M92:M93"/>
    <mergeCell ref="N92:O92"/>
    <mergeCell ref="P92:P93"/>
    <mergeCell ref="A85:P85"/>
    <mergeCell ref="A86:A88"/>
    <mergeCell ref="B86:B88"/>
    <mergeCell ref="M86:M88"/>
    <mergeCell ref="P86:P88"/>
    <mergeCell ref="A89:D89"/>
    <mergeCell ref="L89:M89"/>
    <mergeCell ref="A81:A82"/>
    <mergeCell ref="B81:B82"/>
    <mergeCell ref="M81:M82"/>
    <mergeCell ref="P81:P82"/>
    <mergeCell ref="A83:A84"/>
    <mergeCell ref="B83:B84"/>
    <mergeCell ref="M83:M84"/>
    <mergeCell ref="P83:P84"/>
    <mergeCell ref="A77:A78"/>
    <mergeCell ref="B77:B78"/>
    <mergeCell ref="M77:M78"/>
    <mergeCell ref="P77:P78"/>
    <mergeCell ref="A79:A80"/>
    <mergeCell ref="B79:B80"/>
    <mergeCell ref="M79:M80"/>
    <mergeCell ref="P79:P80"/>
    <mergeCell ref="A72:A74"/>
    <mergeCell ref="B72:B74"/>
    <mergeCell ref="M72:M74"/>
    <mergeCell ref="P72:P74"/>
    <mergeCell ref="A75:A76"/>
    <mergeCell ref="B75:B76"/>
    <mergeCell ref="M75:M76"/>
    <mergeCell ref="P75:P76"/>
    <mergeCell ref="L67:L68"/>
    <mergeCell ref="M67:M68"/>
    <mergeCell ref="N67:O67"/>
    <mergeCell ref="P67:P68"/>
    <mergeCell ref="A69:P69"/>
    <mergeCell ref="A70:A71"/>
    <mergeCell ref="B70:B71"/>
    <mergeCell ref="M70:M71"/>
    <mergeCell ref="P70:P71"/>
    <mergeCell ref="A26:D26"/>
    <mergeCell ref="A67:D67"/>
    <mergeCell ref="E67:K67"/>
    <mergeCell ref="A49:P49"/>
    <mergeCell ref="A50:A54"/>
    <mergeCell ref="B50:B54"/>
    <mergeCell ref="M50:M54"/>
    <mergeCell ref="P50:P54"/>
    <mergeCell ref="A55:D55"/>
    <mergeCell ref="L55:M55"/>
    <mergeCell ref="A44:A45"/>
    <mergeCell ref="B44:B45"/>
    <mergeCell ref="M44:M45"/>
    <mergeCell ref="P44:P45"/>
    <mergeCell ref="A46:P46"/>
    <mergeCell ref="A47:A48"/>
    <mergeCell ref="B47:B48"/>
    <mergeCell ref="M47:M48"/>
    <mergeCell ref="P47:P48"/>
    <mergeCell ref="K39:K40"/>
    <mergeCell ref="L39:L40"/>
    <mergeCell ref="A41:A43"/>
    <mergeCell ref="B41:B43"/>
    <mergeCell ref="M41:M43"/>
    <mergeCell ref="P41:P43"/>
    <mergeCell ref="E39:E40"/>
    <mergeCell ref="F39:F40"/>
    <mergeCell ref="G39:G40"/>
    <mergeCell ref="H39:H40"/>
    <mergeCell ref="I39:I40"/>
    <mergeCell ref="J39:J40"/>
    <mergeCell ref="A35:A36"/>
    <mergeCell ref="B35:B36"/>
    <mergeCell ref="M35:M36"/>
    <mergeCell ref="P35:P36"/>
    <mergeCell ref="A37:A40"/>
    <mergeCell ref="B37:B40"/>
    <mergeCell ref="M37:M40"/>
    <mergeCell ref="P37:P40"/>
    <mergeCell ref="C39:C40"/>
    <mergeCell ref="D39:D40"/>
    <mergeCell ref="N30:O30"/>
    <mergeCell ref="P30:P31"/>
    <mergeCell ref="A32:P32"/>
    <mergeCell ref="A33:A34"/>
    <mergeCell ref="B33:B34"/>
    <mergeCell ref="M33:M34"/>
    <mergeCell ref="P33:P34"/>
    <mergeCell ref="L26:M26"/>
    <mergeCell ref="A30:D30"/>
    <mergeCell ref="E30:K30"/>
    <mergeCell ref="L30:L31"/>
    <mergeCell ref="M30:M31"/>
    <mergeCell ref="A24:A25"/>
    <mergeCell ref="M24:M25"/>
    <mergeCell ref="P24:P25"/>
    <mergeCell ref="A19:A20"/>
    <mergeCell ref="B19:B20"/>
    <mergeCell ref="M19:M20"/>
    <mergeCell ref="P19:P20"/>
    <mergeCell ref="A21:P21"/>
    <mergeCell ref="A23:P23"/>
    <mergeCell ref="A15:A16"/>
    <mergeCell ref="B15:B16"/>
    <mergeCell ref="M15:M16"/>
    <mergeCell ref="P15:P16"/>
    <mergeCell ref="A17:A18"/>
    <mergeCell ref="B17:B18"/>
    <mergeCell ref="M17:M18"/>
    <mergeCell ref="P17:P18"/>
    <mergeCell ref="A10:P10"/>
    <mergeCell ref="A11:A12"/>
    <mergeCell ref="B11:B12"/>
    <mergeCell ref="M11:M12"/>
    <mergeCell ref="P11:P12"/>
    <mergeCell ref="A13:A14"/>
    <mergeCell ref="B13:B14"/>
    <mergeCell ref="M13:M14"/>
    <mergeCell ref="P13:P14"/>
    <mergeCell ref="A8:D8"/>
    <mergeCell ref="E8:K8"/>
    <mergeCell ref="L8:L9"/>
    <mergeCell ref="M8:M9"/>
    <mergeCell ref="N8:O8"/>
    <mergeCell ref="P8:P9"/>
  </mergeCells>
  <pageMargins left="0.39370078740157483" right="0.39370078740157483" top="0.74803149606299213" bottom="0.74803149606299213" header="0.31496062992125984" footer="0.11811023622047245"/>
  <pageSetup paperSize="9" orientation="landscape" horizontalDpi="300" verticalDpi="300" r:id="rId1"/>
  <headerFooter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2017-01-20T23:43:09Z</cp:lastPrinted>
  <dcterms:created xsi:type="dcterms:W3CDTF">2017-01-20T22:20:46Z</dcterms:created>
  <dcterms:modified xsi:type="dcterms:W3CDTF">2017-01-20T23:43:17Z</dcterms:modified>
</cp:coreProperties>
</file>